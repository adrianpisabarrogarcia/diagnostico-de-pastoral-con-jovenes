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drianpisabarrogarcia/Desktop/"/>
    </mc:Choice>
  </mc:AlternateContent>
  <xr:revisionPtr revIDLastSave="0" documentId="13_ncr:1_{CCA328C9-5A59-884B-AD4D-936C1CE62660}" xr6:coauthVersionLast="47" xr6:coauthVersionMax="47" xr10:uidLastSave="{00000000-0000-0000-0000-000000000000}"/>
  <bookViews>
    <workbookView xWindow="0" yWindow="0" windowWidth="23040" windowHeight="9060" xr2:uid="{9BB585BC-8101-4407-BD2B-5FFAA4067A30}"/>
  </bookViews>
  <sheets>
    <sheet name="Formulario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1" i="5" l="1"/>
  <c r="EA46" i="5" l="1"/>
  <c r="EA45" i="5"/>
  <c r="EA44" i="5"/>
  <c r="EA43" i="5"/>
  <c r="EA39" i="5"/>
  <c r="EA35" i="5"/>
  <c r="EA32" i="5"/>
  <c r="EA31" i="5"/>
  <c r="EA30" i="5"/>
  <c r="EA29" i="5"/>
  <c r="EA26" i="5"/>
  <c r="EA24" i="5"/>
  <c r="EA23" i="5"/>
  <c r="EA22" i="5"/>
  <c r="EA21" i="5"/>
  <c r="EA20" i="5"/>
  <c r="EA19" i="5"/>
  <c r="EA18" i="5"/>
  <c r="EA15" i="5"/>
  <c r="EA14" i="5"/>
  <c r="EA13" i="5"/>
  <c r="EA12" i="5"/>
  <c r="DS44" i="5"/>
  <c r="DS43" i="5"/>
  <c r="DS41" i="5"/>
  <c r="DS40" i="5"/>
  <c r="DS39" i="5"/>
  <c r="DS37" i="5"/>
  <c r="DS36" i="5"/>
  <c r="DS35" i="5"/>
  <c r="DS30" i="5"/>
  <c r="DS29" i="5"/>
  <c r="DS27" i="5"/>
  <c r="DS26" i="5"/>
  <c r="DS25" i="5"/>
  <c r="I45" i="5"/>
  <c r="DT44" i="5" s="1"/>
  <c r="I43" i="5"/>
  <c r="DT43" i="5" s="1"/>
  <c r="I42" i="5"/>
  <c r="DT41" i="5" s="1"/>
  <c r="I41" i="5"/>
  <c r="DT40" i="5" s="1"/>
  <c r="I39" i="5"/>
  <c r="DT39" i="5" s="1"/>
  <c r="I38" i="5"/>
  <c r="DT37" i="5" s="1"/>
  <c r="I37" i="5"/>
  <c r="DT36" i="5" s="1"/>
  <c r="I35" i="5"/>
  <c r="DT35" i="5" s="1"/>
  <c r="I34" i="5"/>
  <c r="DT30" i="5" s="1"/>
  <c r="I29" i="5"/>
  <c r="DT29" i="5" s="1"/>
  <c r="I28" i="5"/>
  <c r="DT27" i="5" s="1"/>
  <c r="I27" i="5"/>
  <c r="DP28" i="5" s="1"/>
  <c r="I25" i="5"/>
  <c r="DT25" i="5" s="1"/>
  <c r="I17" i="5"/>
  <c r="DP18" i="5" s="1"/>
  <c r="I14" i="5"/>
  <c r="DP15" i="5" s="1"/>
  <c r="DP12" i="5"/>
  <c r="DN12" i="5"/>
  <c r="DT18" i="5" l="1"/>
  <c r="DT26" i="5"/>
  <c r="I18" i="5"/>
  <c r="DP19" i="5" s="1"/>
  <c r="EB18" i="5" s="1"/>
  <c r="I12" i="5"/>
  <c r="DP13" i="5" s="1"/>
  <c r="EB12" i="5" s="1"/>
  <c r="DN28" i="5"/>
  <c r="DR19" i="5" s="1"/>
  <c r="DN29" i="5"/>
  <c r="DR20" i="5" s="1"/>
  <c r="DN35" i="5"/>
  <c r="DR21" i="5" s="1"/>
  <c r="DN36" i="5"/>
  <c r="DR27" i="5" s="1"/>
  <c r="DN46" i="5"/>
  <c r="DR37" i="5" s="1"/>
  <c r="DN43" i="5"/>
  <c r="DR32" i="5" s="1"/>
  <c r="DN44" i="5"/>
  <c r="DR36" i="5" s="1"/>
  <c r="DN42" i="5"/>
  <c r="DR31" i="5" s="1"/>
  <c r="DN39" i="5"/>
  <c r="DR29" i="5" s="1"/>
  <c r="DN40" i="5"/>
  <c r="DR30" i="5" s="1"/>
  <c r="DN38" i="5"/>
  <c r="DR28" i="5" s="1"/>
  <c r="DN26" i="5"/>
  <c r="DR18" i="5" s="1"/>
  <c r="I26" i="5"/>
  <c r="I30" i="5"/>
  <c r="I31" i="5"/>
  <c r="I32" i="5"/>
  <c r="I33" i="5"/>
  <c r="I36" i="5"/>
  <c r="I40" i="5"/>
  <c r="I44" i="5"/>
  <c r="I46" i="5"/>
  <c r="I47" i="5"/>
  <c r="I48" i="5"/>
  <c r="DR12" i="5" l="1"/>
  <c r="DT12" i="5" s="1"/>
  <c r="DS13" i="5"/>
  <c r="DS12" i="5"/>
  <c r="DN15" i="5"/>
  <c r="DR13" i="5" s="1"/>
  <c r="DT13" i="5" s="1"/>
  <c r="DP26" i="5"/>
  <c r="DP27" i="5"/>
  <c r="EB26" i="5" s="1"/>
  <c r="DP29" i="5"/>
  <c r="DP30" i="5"/>
  <c r="DP31" i="5"/>
  <c r="EB29" i="5" s="1"/>
  <c r="DP32" i="5"/>
  <c r="EB30" i="5" s="1"/>
  <c r="DP33" i="5"/>
  <c r="EB31" i="5" s="1"/>
  <c r="DP34" i="5"/>
  <c r="EB32" i="5" s="1"/>
  <c r="DP35" i="5"/>
  <c r="DP36" i="5"/>
  <c r="DP37" i="5"/>
  <c r="EB35" i="5" s="1"/>
  <c r="DP38" i="5"/>
  <c r="DP39" i="5"/>
  <c r="DP40" i="5"/>
  <c r="DP41" i="5"/>
  <c r="EB39" i="5" s="1"/>
  <c r="DP42" i="5"/>
  <c r="DP43" i="5"/>
  <c r="DP44" i="5"/>
  <c r="DP45" i="5"/>
  <c r="EB43" i="5" s="1"/>
  <c r="DP46" i="5"/>
  <c r="DP47" i="5"/>
  <c r="EB44" i="5" s="1"/>
  <c r="DP48" i="5"/>
  <c r="EB45" i="5" s="1"/>
  <c r="DP49" i="5"/>
  <c r="EB46" i="5" s="1"/>
  <c r="I22" i="5"/>
  <c r="DP23" i="5" s="1"/>
  <c r="EB22" i="5" s="1"/>
  <c r="I23" i="5"/>
  <c r="DP24" i="5" s="1"/>
  <c r="EB23" i="5" s="1"/>
  <c r="I24" i="5"/>
  <c r="DP25" i="5" s="1"/>
  <c r="EB24" i="5" s="1"/>
  <c r="I16" i="5"/>
  <c r="DP17" i="5" s="1"/>
  <c r="EB15" i="5" s="1"/>
  <c r="I19" i="5"/>
  <c r="DP20" i="5" s="1"/>
  <c r="EB19" i="5" s="1"/>
  <c r="I20" i="5"/>
  <c r="DP21" i="5" s="1"/>
  <c r="EB20" i="5" s="1"/>
  <c r="I21" i="5"/>
  <c r="DP22" i="5" s="1"/>
  <c r="EB21" i="5" s="1"/>
  <c r="I15" i="5"/>
  <c r="DP16" i="5" s="1"/>
  <c r="EB14" i="5" s="1"/>
  <c r="I13" i="5"/>
  <c r="DP14" i="5" s="1"/>
  <c r="EB13" i="5" l="1"/>
  <c r="DW12" i="5"/>
  <c r="DY12" i="5" s="1"/>
  <c r="DW13" i="5"/>
  <c r="DY13" i="5" s="1"/>
  <c r="DW18" i="5"/>
  <c r="DY18" i="5" s="1"/>
  <c r="DW17" i="5"/>
  <c r="DY17" i="5" s="1"/>
  <c r="DW16" i="5"/>
  <c r="DY16" i="5" s="1"/>
  <c r="DW15" i="5"/>
  <c r="DY15" i="5" s="1"/>
  <c r="DW14" i="5"/>
  <c r="DY14" i="5" s="1"/>
</calcChain>
</file>

<file path=xl/sharedStrings.xml><?xml version="1.0" encoding="utf-8"?>
<sst xmlns="http://schemas.openxmlformats.org/spreadsheetml/2006/main" count="187" uniqueCount="141">
  <si>
    <t>Si/Siempre</t>
  </si>
  <si>
    <t>Bastante/Casi siempre</t>
  </si>
  <si>
    <t>Poco/A veces</t>
  </si>
  <si>
    <t>Responsable</t>
  </si>
  <si>
    <t>Recursos</t>
  </si>
  <si>
    <t>Proyecto</t>
  </si>
  <si>
    <t>Programación anual</t>
  </si>
  <si>
    <t>Presupuesto</t>
  </si>
  <si>
    <t xml:space="preserve">Fomación de líderes </t>
  </si>
  <si>
    <t>Acompañamiento personal</t>
  </si>
  <si>
    <t xml:space="preserve">Estrategia de comunicación </t>
  </si>
  <si>
    <t xml:space="preserve">Encuentros interinstitucionales </t>
  </si>
  <si>
    <t xml:space="preserve">Integración a las familias </t>
  </si>
  <si>
    <t>No/Nunca</t>
  </si>
  <si>
    <t>Equipo Pastoral con Jóvenes</t>
  </si>
  <si>
    <t>Formación</t>
  </si>
  <si>
    <t>Estabilidad</t>
  </si>
  <si>
    <t>Comunicación</t>
  </si>
  <si>
    <t xml:space="preserve">Evaluación periódica </t>
  </si>
  <si>
    <t xml:space="preserve">Plan de mejora </t>
  </si>
  <si>
    <t xml:space="preserve">Principios </t>
  </si>
  <si>
    <t xml:space="preserve">Proceso de selección </t>
  </si>
  <si>
    <t>Estructura pastoral</t>
  </si>
  <si>
    <t>Itinerario Pastoral con Jóvenes</t>
  </si>
  <si>
    <t>Discernimiento vocacional</t>
  </si>
  <si>
    <t xml:space="preserve">Comunidad Cristiana </t>
  </si>
  <si>
    <t>Vinculación Eclesial</t>
  </si>
  <si>
    <t>Oferta grupos de fe</t>
  </si>
  <si>
    <t>Voluntariado/servicio</t>
  </si>
  <si>
    <t xml:space="preserve">Tiempo libre </t>
  </si>
  <si>
    <t xml:space="preserve">Celebraciones litúrgicas </t>
  </si>
  <si>
    <t>Oración</t>
  </si>
  <si>
    <t>Formación en acompañamiento</t>
  </si>
  <si>
    <t xml:space="preserve">Encuentros con comunidades cristianas </t>
  </si>
  <si>
    <t xml:space="preserve">Proceso de pastoral coherente </t>
  </si>
  <si>
    <t xml:space="preserve">Jóvenes líderes </t>
  </si>
  <si>
    <t xml:space="preserve">Experiencias fuertes </t>
  </si>
  <si>
    <t>Momentos de discernimiento</t>
  </si>
  <si>
    <t xml:space="preserve">Redes sociales </t>
  </si>
  <si>
    <t>Trabajo en red eclesial</t>
  </si>
  <si>
    <t>Análisis de la realidad local</t>
  </si>
  <si>
    <t>PREGUNTA</t>
  </si>
  <si>
    <t>RESPUESTA</t>
  </si>
  <si>
    <r>
      <rPr>
        <sz val="11"/>
        <color theme="1"/>
        <rFont val="Calibri"/>
        <family val="2"/>
      </rPr>
      <t xml:space="preserve">Los miembros de este equipo siguen un plan de </t>
    </r>
    <r>
      <rPr>
        <b/>
        <sz val="11"/>
        <color theme="1"/>
        <rFont val="Calibri"/>
        <family val="2"/>
      </rPr>
      <t>formación</t>
    </r>
    <r>
      <rPr>
        <sz val="11"/>
        <color theme="1"/>
        <rFont val="Calibri"/>
        <family val="2"/>
      </rPr>
      <t xml:space="preserve"> para el desempeño de su labor.</t>
    </r>
  </si>
  <si>
    <r>
      <rPr>
        <sz val="11"/>
        <color theme="1"/>
        <rFont val="Calibri"/>
        <family val="2"/>
      </rPr>
      <t xml:space="preserve">El equipo mantiene la </t>
    </r>
    <r>
      <rPr>
        <b/>
        <sz val="11"/>
        <color theme="1"/>
        <rFont val="Calibri"/>
        <family val="2"/>
      </rPr>
      <t>estabilidad</t>
    </r>
    <r>
      <rPr>
        <sz val="11"/>
        <color theme="1"/>
        <rFont val="Calibri"/>
        <family val="2"/>
      </rPr>
      <t xml:space="preserve"> en el tiempo suficiente como para poder llevar adelante el proyecto </t>
    </r>
  </si>
  <si>
    <r>
      <rPr>
        <sz val="11"/>
        <color theme="1"/>
        <rFont val="Calibri"/>
        <family val="2"/>
        <scheme val="minor"/>
      </rPr>
      <t xml:space="preserve">Hay una persona </t>
    </r>
    <r>
      <rPr>
        <b/>
        <sz val="11"/>
        <color theme="1"/>
        <rFont val="Calibri"/>
        <family val="2"/>
        <scheme val="minor"/>
      </rPr>
      <t>responsable</t>
    </r>
    <r>
      <rPr>
        <sz val="11"/>
        <color theme="1"/>
        <rFont val="Calibri"/>
        <family val="2"/>
        <scheme val="minor"/>
      </rPr>
      <t xml:space="preserve"> de coordinar e impulsar la acción pastoral.</t>
    </r>
  </si>
  <si>
    <r>
      <rPr>
        <sz val="11"/>
        <color theme="1"/>
        <rFont val="Calibri"/>
        <family val="2"/>
        <scheme val="minor"/>
      </rPr>
      <t xml:space="preserve">Los responsables del proyecto cuentan con los </t>
    </r>
    <r>
      <rPr>
        <b/>
        <sz val="11"/>
        <color theme="1"/>
        <rFont val="Calibri"/>
        <family val="2"/>
        <scheme val="minor"/>
      </rPr>
      <t>recursos</t>
    </r>
    <r>
      <rPr>
        <sz val="11"/>
        <color theme="1"/>
        <rFont val="Calibri"/>
        <family val="2"/>
        <scheme val="minor"/>
      </rPr>
      <t xml:space="preserve"> necesarios para llevarlo a cabo (tiempo, personas, financiación, material, apoyo institucional…).</t>
    </r>
  </si>
  <si>
    <r>
      <rPr>
        <sz val="11"/>
        <color theme="1"/>
        <rFont val="Calibri"/>
        <family val="2"/>
        <scheme val="minor"/>
      </rPr>
      <t xml:space="preserve">Hay </t>
    </r>
    <r>
      <rPr>
        <b/>
        <sz val="11"/>
        <color theme="1"/>
        <rFont val="Calibri"/>
        <family val="2"/>
        <scheme val="minor"/>
      </rPr>
      <t>comunicación</t>
    </r>
    <r>
      <rPr>
        <sz val="11"/>
        <color theme="1"/>
        <rFont val="Calibri"/>
        <family val="2"/>
        <scheme val="minor"/>
      </rPr>
      <t xml:space="preserve"> frecuente entre el Equipo de pastoral y los máximos responsables de la Institución.</t>
    </r>
  </si>
  <si>
    <r>
      <rPr>
        <sz val="11"/>
        <color theme="1"/>
        <rFont val="Calibri"/>
        <family val="2"/>
      </rPr>
      <t xml:space="preserve">Hay una </t>
    </r>
    <r>
      <rPr>
        <b/>
        <sz val="11"/>
        <color theme="1"/>
        <rFont val="Calibri"/>
        <family val="2"/>
      </rPr>
      <t>programación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anual</t>
    </r>
    <r>
      <rPr>
        <sz val="11"/>
        <color theme="1"/>
        <rFont val="Calibri"/>
        <family val="2"/>
      </rPr>
      <t xml:space="preserve"> con su correspondiente calendario.</t>
    </r>
  </si>
  <si>
    <r>
      <rPr>
        <sz val="11"/>
        <color theme="1"/>
        <rFont val="Calibri"/>
        <family val="2"/>
        <scheme val="minor"/>
      </rPr>
      <t xml:space="preserve">Hay una </t>
    </r>
    <r>
      <rPr>
        <b/>
        <sz val="11"/>
        <color theme="1"/>
        <rFont val="Calibri"/>
        <family val="2"/>
        <scheme val="minor"/>
      </rPr>
      <t>evaluación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periódica</t>
    </r>
    <r>
      <rPr>
        <sz val="11"/>
        <color theme="1"/>
        <rFont val="Calibri"/>
        <family val="2"/>
        <scheme val="minor"/>
      </rPr>
      <t xml:space="preserve"> del proyecto/programación.</t>
    </r>
  </si>
  <si>
    <r>
      <rPr>
        <sz val="11"/>
        <color rgb="FF000000"/>
        <rFont val="Calibri"/>
        <family val="2"/>
        <scheme val="minor"/>
      </rPr>
      <t xml:space="preserve">Hay un </t>
    </r>
    <r>
      <rPr>
        <b/>
        <sz val="11"/>
        <color rgb="FF000000"/>
        <rFont val="Calibri"/>
        <family val="2"/>
        <scheme val="minor"/>
      </rPr>
      <t>plan de mejora</t>
    </r>
    <r>
      <rPr>
        <sz val="11"/>
        <color rgb="FF000000"/>
        <rFont val="Calibri"/>
        <family val="2"/>
        <scheme val="minor"/>
      </rPr>
      <t xml:space="preserve"> en que se introducen cambios, mejoras, innovaciones con respecto a las evaluaciones anuales. </t>
    </r>
  </si>
  <si>
    <r>
      <rPr>
        <sz val="11"/>
        <color theme="1"/>
        <rFont val="Calibri"/>
        <family val="2"/>
        <scheme val="minor"/>
      </rPr>
      <t xml:space="preserve">Hay un </t>
    </r>
    <r>
      <rPr>
        <b/>
        <sz val="11"/>
        <color theme="1"/>
        <rFont val="Calibri"/>
        <family val="2"/>
        <scheme val="minor"/>
      </rPr>
      <t>presupuesto</t>
    </r>
    <r>
      <rPr>
        <sz val="11"/>
        <color theme="1"/>
        <rFont val="Calibri"/>
        <family val="2"/>
        <scheme val="minor"/>
      </rPr>
      <t xml:space="preserve"> para llevar a cabo el proyecto.</t>
    </r>
  </si>
  <si>
    <r>
      <rPr>
        <sz val="11"/>
        <color theme="1"/>
        <rFont val="Calibri"/>
        <family val="2"/>
        <scheme val="minor"/>
      </rPr>
      <t xml:space="preserve">Hay una priorización de los </t>
    </r>
    <r>
      <rPr>
        <b/>
        <sz val="11"/>
        <color theme="1"/>
        <rFont val="Calibri"/>
        <family val="2"/>
        <scheme val="minor"/>
      </rPr>
      <t>principios</t>
    </r>
    <r>
      <rPr>
        <sz val="11"/>
        <color theme="1"/>
        <rFont val="Calibri"/>
        <family val="2"/>
        <scheme val="minor"/>
      </rPr>
      <t xml:space="preserve"> o ejes que fundamentan el proyecto.</t>
    </r>
  </si>
  <si>
    <r>
      <rPr>
        <sz val="11"/>
        <color theme="1"/>
        <rFont val="Calibri"/>
        <family val="2"/>
        <scheme val="minor"/>
      </rPr>
      <t xml:space="preserve">Hay algún </t>
    </r>
    <r>
      <rPr>
        <b/>
        <sz val="11"/>
        <color theme="1"/>
        <rFont val="Calibri"/>
        <family val="2"/>
        <scheme val="minor"/>
      </rPr>
      <t>perfil/criterios</t>
    </r>
    <r>
      <rPr>
        <sz val="11"/>
        <color theme="1"/>
        <rFont val="Calibri"/>
        <family val="2"/>
        <scheme val="minor"/>
      </rPr>
      <t xml:space="preserve"> para la selección de los responsables, delegados, coordinadores…</t>
    </r>
  </si>
  <si>
    <r>
      <rPr>
        <sz val="11"/>
        <color theme="1"/>
        <rFont val="Calibri"/>
        <family val="2"/>
        <scheme val="minor"/>
      </rPr>
      <t xml:space="preserve">Hay definida una </t>
    </r>
    <r>
      <rPr>
        <b/>
        <sz val="11"/>
        <color theme="1"/>
        <rFont val="Calibri"/>
        <family val="2"/>
        <scheme val="minor"/>
      </rPr>
      <t>estructura</t>
    </r>
    <r>
      <rPr>
        <sz val="11"/>
        <color theme="1"/>
        <rFont val="Calibri"/>
        <family val="2"/>
        <scheme val="minor"/>
      </rPr>
      <t xml:space="preserve"> pastoral (provincial, diocesana, local...) (Equipos provinciales de pastoral, Equipos locales, coordinaciones, órganos representativos…).</t>
    </r>
  </si>
  <si>
    <r>
      <rPr>
        <sz val="11"/>
        <color rgb="FF000000"/>
        <rFont val="Calibri"/>
        <family val="2"/>
        <scheme val="minor"/>
      </rPr>
      <t>Ha</t>
    </r>
    <r>
      <rPr>
        <sz val="11"/>
        <color theme="1"/>
        <rFont val="Calibri"/>
        <family val="2"/>
        <scheme val="minor"/>
      </rPr>
      <t xml:space="preserve">y un </t>
    </r>
    <r>
      <rPr>
        <b/>
        <sz val="11"/>
        <color theme="1"/>
        <rFont val="Calibri"/>
        <family val="2"/>
        <scheme val="minor"/>
      </rPr>
      <t>proceso</t>
    </r>
    <r>
      <rPr>
        <sz val="11"/>
        <color theme="1"/>
        <rFont val="Calibri"/>
        <family val="2"/>
        <scheme val="minor"/>
      </rPr>
      <t xml:space="preserve"> establecido, con distintas etapas o itinerarios a recorrer, para desarrollar el proyecto de pastoral con jóvenes.</t>
    </r>
  </si>
  <si>
    <r>
      <rPr>
        <sz val="11"/>
        <color theme="1"/>
        <rFont val="Calibri"/>
        <family val="2"/>
        <scheme val="minor"/>
      </rPr>
      <t>Se trabaja a lo largo del proceso el descubrimiento de la propia vocación, la</t>
    </r>
    <r>
      <rPr>
        <b/>
        <sz val="11"/>
        <color theme="1"/>
        <rFont val="Calibri"/>
        <family val="2"/>
        <scheme val="minor"/>
      </rPr>
      <t xml:space="preserve"> llamada personal </t>
    </r>
    <r>
      <rPr>
        <sz val="11"/>
        <color theme="1"/>
        <rFont val="Calibri"/>
        <family val="2"/>
        <scheme val="minor"/>
      </rPr>
      <t>que Dios hace al joven.</t>
    </r>
  </si>
  <si>
    <r>
      <rPr>
        <sz val="11"/>
        <color theme="1"/>
        <rFont val="Calibri"/>
        <family val="2"/>
        <scheme val="minor"/>
      </rPr>
      <t xml:space="preserve">Hay una </t>
    </r>
    <r>
      <rPr>
        <b/>
        <sz val="11"/>
        <color theme="1"/>
        <rFont val="Calibri"/>
        <family val="2"/>
        <scheme val="minor"/>
      </rPr>
      <t>comunidad cristiana</t>
    </r>
    <r>
      <rPr>
        <sz val="11"/>
        <color theme="1"/>
        <rFont val="Calibri"/>
        <family val="2"/>
        <scheme val="minor"/>
      </rPr>
      <t xml:space="preserve"> adulta que sea referencia para el proceso pastoral. </t>
    </r>
  </si>
  <si>
    <r>
      <rPr>
        <sz val="11"/>
        <color theme="1"/>
        <rFont val="Calibri"/>
        <family val="2"/>
        <scheme val="minor"/>
      </rPr>
      <t xml:space="preserve">Los jóvenes se vinculan a alguna realidad eclesial como </t>
    </r>
    <r>
      <rPr>
        <b/>
        <sz val="11"/>
        <color theme="1"/>
        <rFont val="Calibri"/>
        <family val="2"/>
        <scheme val="minor"/>
      </rPr>
      <t>desembocadura</t>
    </r>
    <r>
      <rPr>
        <sz val="11"/>
        <color theme="1"/>
        <rFont val="Calibri"/>
        <family val="2"/>
        <scheme val="minor"/>
      </rPr>
      <t xml:space="preserve"> del proceso.</t>
    </r>
  </si>
  <si>
    <r>
      <rPr>
        <sz val="11"/>
        <color theme="1"/>
        <rFont val="Calibri"/>
        <family val="2"/>
        <scheme val="minor"/>
      </rPr>
      <t xml:space="preserve">Hay oferta de </t>
    </r>
    <r>
      <rPr>
        <b/>
        <sz val="11"/>
        <color theme="1"/>
        <rFont val="Calibri"/>
        <family val="2"/>
        <scheme val="minor"/>
      </rPr>
      <t xml:space="preserve">grupos de fe </t>
    </r>
    <r>
      <rPr>
        <sz val="11"/>
        <color theme="1"/>
        <rFont val="Calibri"/>
        <family val="2"/>
        <scheme val="minor"/>
      </rPr>
      <t>que se reúne con una periodicidad mensual mínima.</t>
    </r>
  </si>
  <si>
    <r>
      <rPr>
        <sz val="11"/>
        <color theme="1"/>
        <rFont val="Calibri"/>
        <family val="2"/>
        <scheme val="minor"/>
      </rPr>
      <t xml:space="preserve">Vinculadas al proceso pastoral, hay actividades de </t>
    </r>
    <r>
      <rPr>
        <b/>
        <sz val="11"/>
        <color theme="1"/>
        <rFont val="Calibri"/>
        <family val="2"/>
        <scheme val="minor"/>
      </rPr>
      <t>voluntariado</t>
    </r>
    <r>
      <rPr>
        <sz val="11"/>
        <color theme="1"/>
        <rFont val="Calibri"/>
        <family val="2"/>
        <scheme val="minor"/>
      </rPr>
      <t xml:space="preserve"> y compromiso social.</t>
    </r>
  </si>
  <si>
    <r>
      <rPr>
        <sz val="11"/>
        <color theme="1"/>
        <rFont val="Calibri"/>
        <family val="2"/>
        <scheme val="minor"/>
      </rPr>
      <t xml:space="preserve">Vinculadas al proceso pastoral, hay actividades de </t>
    </r>
    <r>
      <rPr>
        <b/>
        <sz val="11"/>
        <color theme="1"/>
        <rFont val="Calibri"/>
        <family val="2"/>
        <scheme val="minor"/>
      </rPr>
      <t>“tiempo libre”</t>
    </r>
    <r>
      <rPr>
        <sz val="11"/>
        <color theme="1"/>
        <rFont val="Calibri"/>
        <family val="2"/>
        <scheme val="minor"/>
      </rPr>
      <t>, convivencia, encuentro…</t>
    </r>
  </si>
  <si>
    <r>
      <rPr>
        <sz val="11"/>
        <color theme="1"/>
        <rFont val="Calibri"/>
        <family val="2"/>
        <scheme val="minor"/>
      </rPr>
      <t xml:space="preserve">Las </t>
    </r>
    <r>
      <rPr>
        <b/>
        <sz val="11"/>
        <color theme="1"/>
        <rFont val="Calibri"/>
        <family val="2"/>
        <scheme val="minor"/>
      </rPr>
      <t>celebraciones</t>
    </r>
    <r>
      <rPr>
        <sz val="11"/>
        <color theme="1"/>
        <rFont val="Calibri"/>
        <family val="2"/>
        <scheme val="minor"/>
      </rPr>
      <t xml:space="preserve"> litúrgicas se proponen pensadas para la vivencia de la fe del joven de hoy.</t>
    </r>
  </si>
  <si>
    <r>
      <rPr>
        <sz val="11"/>
        <color theme="1"/>
        <rFont val="Calibri"/>
        <family val="2"/>
        <scheme val="minor"/>
      </rPr>
      <t xml:space="preserve">Hay una oferta de espacios y tiempos de </t>
    </r>
    <r>
      <rPr>
        <b/>
        <sz val="11"/>
        <color theme="1"/>
        <rFont val="Calibri"/>
        <family val="2"/>
        <scheme val="minor"/>
      </rPr>
      <t>oración</t>
    </r>
    <r>
      <rPr>
        <sz val="11"/>
        <color theme="1"/>
        <rFont val="Calibri"/>
        <family val="2"/>
        <scheme val="minor"/>
      </rPr>
      <t>/interioridad.</t>
    </r>
  </si>
  <si>
    <r>
      <rPr>
        <sz val="11"/>
        <color theme="1"/>
        <rFont val="Calibri"/>
        <family val="2"/>
        <scheme val="minor"/>
      </rPr>
      <t xml:space="preserve">Los monitores, catequistas, animadores, coordinadores… tienen la </t>
    </r>
    <r>
      <rPr>
        <b/>
        <sz val="11"/>
        <color theme="1"/>
        <rFont val="Calibri"/>
        <family val="2"/>
        <scheme val="minor"/>
      </rPr>
      <t xml:space="preserve">formación </t>
    </r>
    <r>
      <rPr>
        <sz val="11"/>
        <color theme="1"/>
        <rFont val="Calibri"/>
        <family val="2"/>
        <scheme val="minor"/>
      </rPr>
      <t>adecuada para llevar a cabo su tarea.</t>
    </r>
  </si>
  <si>
    <r>
      <rPr>
        <sz val="11"/>
        <color theme="1"/>
        <rFont val="Calibri"/>
        <family val="2"/>
        <scheme val="minor"/>
      </rPr>
      <t xml:space="preserve">Se ofrece </t>
    </r>
    <r>
      <rPr>
        <b/>
        <sz val="11"/>
        <color theme="1"/>
        <rFont val="Calibri"/>
        <family val="2"/>
        <scheme val="minor"/>
      </rPr>
      <t>acompañamiento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personal</t>
    </r>
    <r>
      <rPr>
        <sz val="11"/>
        <color theme="1"/>
        <rFont val="Calibri"/>
        <family val="2"/>
        <scheme val="minor"/>
      </rPr>
      <t xml:space="preserve"> a los jóvenes dedicando personas, tiempos y espacios.</t>
    </r>
  </si>
  <si>
    <r>
      <rPr>
        <sz val="11"/>
        <color theme="1"/>
        <rFont val="Calibri"/>
        <family val="2"/>
        <scheme val="minor"/>
      </rPr>
      <t xml:space="preserve">Existe un plan de </t>
    </r>
    <r>
      <rPr>
        <b/>
        <sz val="11"/>
        <color theme="1"/>
        <rFont val="Calibri"/>
        <family val="2"/>
        <scheme val="minor"/>
      </rPr>
      <t>formación</t>
    </r>
    <r>
      <rPr>
        <sz val="11"/>
        <color theme="1"/>
        <rFont val="Calibri"/>
        <family val="2"/>
        <scheme val="minor"/>
      </rPr>
      <t xml:space="preserve"> sobre </t>
    </r>
    <r>
      <rPr>
        <b/>
        <sz val="11"/>
        <color theme="1"/>
        <rFont val="Calibri"/>
        <family val="2"/>
        <scheme val="minor"/>
      </rPr>
      <t>acompañamiento</t>
    </r>
    <r>
      <rPr>
        <sz val="11"/>
        <color theme="1"/>
        <rFont val="Calibri"/>
        <family val="2"/>
        <scheme val="minor"/>
      </rPr>
      <t xml:space="preserve"> para los acompañantes de grupos.</t>
    </r>
  </si>
  <si>
    <r>
      <rPr>
        <sz val="11"/>
        <color theme="1"/>
        <rFont val="Calibri"/>
        <family val="2"/>
        <scheme val="minor"/>
      </rPr>
      <t xml:space="preserve">El proceso pastoral está diseñado según la </t>
    </r>
    <r>
      <rPr>
        <b/>
        <sz val="11"/>
        <color theme="1"/>
        <rFont val="Calibri"/>
        <family val="2"/>
        <scheme val="minor"/>
      </rPr>
      <t xml:space="preserve">madurez </t>
    </r>
    <r>
      <rPr>
        <sz val="11"/>
        <color theme="1"/>
        <rFont val="Calibri"/>
        <family val="2"/>
        <scheme val="minor"/>
      </rPr>
      <t>de los jóvenes.</t>
    </r>
  </si>
  <si>
    <r>
      <rPr>
        <sz val="11"/>
        <color theme="1"/>
        <rFont val="Calibri"/>
        <family val="2"/>
        <scheme val="minor"/>
      </rPr>
      <t xml:space="preserve">La </t>
    </r>
    <r>
      <rPr>
        <b/>
        <sz val="11"/>
        <color theme="1"/>
        <rFont val="Calibri"/>
        <family val="2"/>
        <scheme val="minor"/>
      </rPr>
      <t>pedagogía</t>
    </r>
    <r>
      <rPr>
        <sz val="11"/>
        <color theme="1"/>
        <rFont val="Calibri"/>
        <family val="2"/>
        <scheme val="minor"/>
      </rPr>
      <t xml:space="preserve"> que se utiliza es </t>
    </r>
    <r>
      <rPr>
        <b/>
        <sz val="11"/>
        <color theme="1"/>
        <rFont val="Calibri"/>
        <family val="2"/>
        <scheme val="minor"/>
      </rPr>
      <t>experiencial</t>
    </r>
    <r>
      <rPr>
        <sz val="11"/>
        <color theme="1"/>
        <rFont val="Calibri"/>
        <family val="2"/>
        <scheme val="minor"/>
      </rPr>
      <t xml:space="preserve"> (los materiales, las dinámicas, la metodología…).</t>
    </r>
  </si>
  <si>
    <r>
      <rPr>
        <sz val="11"/>
        <color theme="1"/>
        <rFont val="Calibri"/>
        <family val="2"/>
        <scheme val="minor"/>
      </rPr>
      <t xml:space="preserve">Existe </t>
    </r>
    <r>
      <rPr>
        <b/>
        <sz val="11"/>
        <color theme="1"/>
        <rFont val="Calibri"/>
        <family val="2"/>
        <scheme val="minor"/>
      </rPr>
      <t>liderazgo</t>
    </r>
    <r>
      <rPr>
        <sz val="11"/>
        <color theme="1"/>
        <rFont val="Calibri"/>
        <family val="2"/>
        <scheme val="minor"/>
      </rPr>
      <t xml:space="preserve"> y participación en el proyecto por parte de los propios </t>
    </r>
    <r>
      <rPr>
        <b/>
        <sz val="11"/>
        <color theme="1"/>
        <rFont val="Calibri"/>
        <family val="2"/>
        <scheme val="minor"/>
      </rPr>
      <t>jóvenes</t>
    </r>
    <r>
      <rPr>
        <sz val="11"/>
        <color theme="1"/>
        <rFont val="Calibri"/>
        <family val="2"/>
        <scheme val="minor"/>
      </rPr>
      <t>.</t>
    </r>
  </si>
  <si>
    <r>
      <rPr>
        <sz val="11"/>
        <color theme="1"/>
        <rFont val="Calibri"/>
        <family val="2"/>
        <scheme val="minor"/>
      </rPr>
      <t xml:space="preserve">Hay </t>
    </r>
    <r>
      <rPr>
        <b/>
        <sz val="11"/>
        <color theme="1"/>
        <rFont val="Calibri"/>
        <family val="2"/>
        <scheme val="minor"/>
      </rPr>
      <t>experiencias</t>
    </r>
    <r>
      <rPr>
        <sz val="11"/>
        <color theme="1"/>
        <rFont val="Calibri"/>
        <family val="2"/>
        <scheme val="minor"/>
      </rPr>
      <t xml:space="preserve"> fuertes (Pascuas, retiros, campamentos, campos de trabajo, voluntariado…) que propician el encuentro con Dios y que se corresponden con lo trabajado en cada etapa/itinerario.</t>
    </r>
  </si>
  <si>
    <r>
      <rPr>
        <sz val="11"/>
        <color theme="1"/>
        <rFont val="Calibri"/>
        <family val="2"/>
        <scheme val="minor"/>
      </rPr>
      <t xml:space="preserve">Hay momentos preparados de </t>
    </r>
    <r>
      <rPr>
        <b/>
        <sz val="11"/>
        <color theme="1"/>
        <rFont val="Calibri"/>
        <family val="2"/>
        <scheme val="minor"/>
      </rPr>
      <t>discernimiento</t>
    </r>
    <r>
      <rPr>
        <sz val="11"/>
        <color theme="1"/>
        <rFont val="Calibri"/>
        <family val="2"/>
        <scheme val="minor"/>
      </rPr>
      <t xml:space="preserve"> (cambios de etapa, encomiendas, propuestas vocacionales…).</t>
    </r>
  </si>
  <si>
    <r>
      <rPr>
        <sz val="11"/>
        <color theme="1"/>
        <rFont val="Calibri"/>
        <family val="2"/>
        <scheme val="minor"/>
      </rPr>
      <t xml:space="preserve">Hay una </t>
    </r>
    <r>
      <rPr>
        <b/>
        <sz val="11"/>
        <color theme="1"/>
        <rFont val="Calibri"/>
        <family val="2"/>
        <scheme val="minor"/>
      </rPr>
      <t>estrategia de comunicación</t>
    </r>
    <r>
      <rPr>
        <sz val="11"/>
        <color theme="1"/>
        <rFont val="Calibri"/>
        <family val="2"/>
        <scheme val="minor"/>
      </rPr>
      <t xml:space="preserve"> para informar del proyecto y para convocar e implicar a más personas.</t>
    </r>
  </si>
  <si>
    <r>
      <rPr>
        <sz val="11"/>
        <color theme="1"/>
        <rFont val="Calibri"/>
        <family val="2"/>
        <scheme val="minor"/>
      </rPr>
      <t xml:space="preserve">Hay un </t>
    </r>
    <r>
      <rPr>
        <b/>
        <sz val="11"/>
        <color theme="1"/>
        <rFont val="Calibri"/>
        <family val="2"/>
        <scheme val="minor"/>
      </rPr>
      <t>canal de comunicación</t>
    </r>
    <r>
      <rPr>
        <sz val="11"/>
        <color theme="1"/>
        <rFont val="Calibri"/>
        <family val="2"/>
        <scheme val="minor"/>
      </rPr>
      <t xml:space="preserve"> y participación en </t>
    </r>
    <r>
      <rPr>
        <b/>
        <sz val="11"/>
        <color theme="1"/>
        <rFont val="Calibri"/>
        <family val="2"/>
        <scheme val="minor"/>
      </rPr>
      <t>redes sociales.</t>
    </r>
  </si>
  <si>
    <r>
      <rPr>
        <sz val="11"/>
        <color theme="1"/>
        <rFont val="Calibri"/>
        <family val="2"/>
        <scheme val="minor"/>
      </rPr>
      <t xml:space="preserve">Se llevan a cabo </t>
    </r>
    <r>
      <rPr>
        <b/>
        <sz val="11"/>
        <color theme="1"/>
        <rFont val="Calibri"/>
        <family val="2"/>
        <scheme val="minor"/>
      </rPr>
      <t>encuentros y colaboraciones con otras instituciones</t>
    </r>
    <r>
      <rPr>
        <sz val="11"/>
        <color theme="1"/>
        <rFont val="Calibri"/>
        <family val="2"/>
        <scheme val="minor"/>
      </rPr>
      <t>, grupos, colegio, asociaciones...</t>
    </r>
  </si>
  <si>
    <r>
      <rPr>
        <sz val="11"/>
        <color theme="1"/>
        <rFont val="Calibri"/>
        <family val="2"/>
        <scheme val="minor"/>
      </rPr>
      <t xml:space="preserve">Se participa en los equipos de coordinación/reflexión de otras </t>
    </r>
    <r>
      <rPr>
        <b/>
        <sz val="11"/>
        <color theme="1"/>
        <rFont val="Calibri"/>
        <family val="2"/>
        <scheme val="minor"/>
      </rPr>
      <t>redes eclesiales</t>
    </r>
    <r>
      <rPr>
        <sz val="11"/>
        <color theme="1"/>
        <rFont val="Calibri"/>
        <family val="2"/>
        <scheme val="minor"/>
      </rPr>
      <t xml:space="preserve"> de “pastoral con jóvenes”.</t>
    </r>
  </si>
  <si>
    <r>
      <rPr>
        <sz val="11"/>
        <color theme="1"/>
        <rFont val="Calibri"/>
        <family val="2"/>
        <scheme val="minor"/>
      </rPr>
      <t xml:space="preserve">Hay un análisis de la </t>
    </r>
    <r>
      <rPr>
        <b/>
        <sz val="11"/>
        <color theme="1"/>
        <rFont val="Calibri"/>
        <family val="2"/>
        <scheme val="minor"/>
      </rPr>
      <t>realidad local</t>
    </r>
    <r>
      <rPr>
        <sz val="11"/>
        <color theme="1"/>
        <rFont val="Calibri"/>
        <family val="2"/>
        <scheme val="minor"/>
      </rPr>
      <t xml:space="preserve"> en el que se valoran necesidades dentro de la zona para poder aportar como comunidad a nivel social.</t>
    </r>
  </si>
  <si>
    <r>
      <rPr>
        <sz val="11"/>
        <color theme="1"/>
        <rFont val="Calibri"/>
        <family val="2"/>
        <scheme val="minor"/>
      </rPr>
      <t xml:space="preserve">Hay algún canal de comunicación/participación para integrar a las </t>
    </r>
    <r>
      <rPr>
        <b/>
        <sz val="11"/>
        <color theme="1"/>
        <rFont val="Calibri"/>
        <family val="2"/>
        <scheme val="minor"/>
      </rPr>
      <t>familias</t>
    </r>
    <r>
      <rPr>
        <sz val="11"/>
        <color theme="1"/>
        <rFont val="Calibri"/>
        <family val="2"/>
        <scheme val="minor"/>
      </rPr>
      <t xml:space="preserve"> en el proyecto.</t>
    </r>
  </si>
  <si>
    <r>
      <rPr>
        <sz val="11"/>
        <color theme="1"/>
        <rFont val="Calibri"/>
        <family val="2"/>
      </rPr>
      <t xml:space="preserve">Hay un </t>
    </r>
    <r>
      <rPr>
        <b/>
        <sz val="11"/>
        <color theme="1"/>
        <rFont val="Calibri"/>
        <family val="2"/>
      </rPr>
      <t>proyecto</t>
    </r>
    <r>
      <rPr>
        <sz val="11"/>
        <color theme="1"/>
        <rFont val="Calibri"/>
        <family val="2"/>
      </rPr>
      <t xml:space="preserve"> d</t>
    </r>
    <r>
      <rPr>
        <sz val="11"/>
        <color rgb="FF000000"/>
        <rFont val="Calibri"/>
        <family val="2"/>
      </rPr>
      <t>e pastoral con jóvenes escrito con objetivos definidos y líneas de acción para su consecución, con responsables y tiempos establecidos.</t>
    </r>
  </si>
  <si>
    <t>EQUIPO DE TRABAJO</t>
  </si>
  <si>
    <t>Puntaje</t>
  </si>
  <si>
    <t>Equipo de trabajo</t>
  </si>
  <si>
    <t xml:space="preserve">Proyecto Evangelizador </t>
  </si>
  <si>
    <t>Procesos/Itinerario</t>
  </si>
  <si>
    <t>Metodología/Personalización</t>
  </si>
  <si>
    <t>Metodología/Acompañamiento</t>
  </si>
  <si>
    <t xml:space="preserve">Comunicación y redes </t>
  </si>
  <si>
    <t>PROYECTO EVANGELIZADOR</t>
  </si>
  <si>
    <t xml:space="preserve"> ITINERARIO</t>
  </si>
  <si>
    <t xml:space="preserve"> TRANSVERSALES</t>
  </si>
  <si>
    <t>PROCESOS</t>
  </si>
  <si>
    <t>ACOMPAÑAMIENTO</t>
  </si>
  <si>
    <t>PERSONALIZACIÓN</t>
  </si>
  <si>
    <t>METODOLOGÍA</t>
  </si>
  <si>
    <t>COMUNICACIÓN Y REDES</t>
  </si>
  <si>
    <t>Pedagogía experiencial</t>
  </si>
  <si>
    <t>Procesos/Transversales</t>
  </si>
  <si>
    <t>Responder a cada pregunta teniendo en cuenta la realidad actual del proceso de pastoral con jóvenes que usted acompaña.</t>
  </si>
  <si>
    <t>DIAGNOSTICO PROCESOS DE PASTORAL CON JÓVENES v.1</t>
  </si>
  <si>
    <r>
      <rPr>
        <sz val="11"/>
        <color theme="1"/>
        <rFont val="Calibri"/>
        <family val="2"/>
      </rPr>
      <t xml:space="preserve">Hay un </t>
    </r>
    <r>
      <rPr>
        <b/>
        <sz val="11"/>
        <color theme="1"/>
        <rFont val="Calibri"/>
        <family val="2"/>
      </rPr>
      <t>equipo</t>
    </r>
    <r>
      <rPr>
        <sz val="11"/>
        <color theme="1"/>
        <rFont val="Calibri"/>
        <family val="2"/>
      </rPr>
      <t xml:space="preserve"> de “pastoral con jóvenes” definido: composición, funciones y reuniones de trabajo con una periodicidad mensual mínima *. </t>
    </r>
  </si>
  <si>
    <t xml:space="preserve">RESULTADOS
</t>
  </si>
  <si>
    <t>RESULTADOS
Perfil General Proceso de Pastoral con Jóvenes</t>
  </si>
  <si>
    <r>
      <rPr>
        <sz val="11"/>
        <color theme="1"/>
        <rFont val="Calibri"/>
        <family val="2"/>
        <scheme val="minor"/>
      </rPr>
      <t xml:space="preserve">La </t>
    </r>
    <r>
      <rPr>
        <b/>
        <sz val="11"/>
        <color theme="1"/>
        <rFont val="Calibri"/>
        <family val="2"/>
        <scheme val="minor"/>
      </rPr>
      <t>comunidad cristiana</t>
    </r>
    <r>
      <rPr>
        <sz val="11"/>
        <color theme="1"/>
        <rFont val="Calibri"/>
        <family val="2"/>
        <scheme val="minor"/>
      </rPr>
      <t xml:space="preserve"> de referencia ofrece espacios de encuentro, de celebración, de compromiso… de modo que puedan ser testigos y hacerse partícipes.</t>
    </r>
  </si>
  <si>
    <t>1.1</t>
  </si>
  <si>
    <t>1.2</t>
  </si>
  <si>
    <t>1.3</t>
  </si>
  <si>
    <t>1.4</t>
  </si>
  <si>
    <t>1.5</t>
  </si>
  <si>
    <t>1.6</t>
  </si>
  <si>
    <t>2.2</t>
  </si>
  <si>
    <t>2.3</t>
  </si>
  <si>
    <t>2.4</t>
  </si>
  <si>
    <t>2.5</t>
  </si>
  <si>
    <t>2.6</t>
  </si>
  <si>
    <t>2.7</t>
  </si>
  <si>
    <t>2.8</t>
  </si>
  <si>
    <t>2.1</t>
  </si>
  <si>
    <t>3.1.1</t>
  </si>
  <si>
    <t>3.1.2</t>
  </si>
  <si>
    <t>3.1.3</t>
  </si>
  <si>
    <t>3.1.4</t>
  </si>
  <si>
    <t>3.2.1</t>
  </si>
  <si>
    <t>3.2.2</t>
  </si>
  <si>
    <t>3.2.3</t>
  </si>
  <si>
    <t>3.2.4</t>
  </si>
  <si>
    <t>3.2.5</t>
  </si>
  <si>
    <t>3.2.6</t>
  </si>
  <si>
    <t>4.1.1</t>
  </si>
  <si>
    <t>4.1.2</t>
  </si>
  <si>
    <t>4.1.3</t>
  </si>
  <si>
    <t>4.1.4</t>
  </si>
  <si>
    <t>4.2.1</t>
  </si>
  <si>
    <t>4.2.2</t>
  </si>
  <si>
    <t>4.2.3</t>
  </si>
  <si>
    <t>4.2.4</t>
  </si>
  <si>
    <t>5.1</t>
  </si>
  <si>
    <t>5.2</t>
  </si>
  <si>
    <t>5.3</t>
  </si>
  <si>
    <t>5.4</t>
  </si>
  <si>
    <t>5.5</t>
  </si>
  <si>
    <t>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</si>
</sst>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AE380"/>
        <bgColor indexed="64"/>
      </patternFill>
    </fill>
    <fill>
      <patternFill patternType="solid">
        <fgColor rgb="FF80CAE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8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0" fillId="0" borderId="0" xfId="0" applyProtection="1"/>
    <xf numFmtId="0" fontId="8" fillId="0" borderId="0" xfId="0" applyFont="1" applyAlignment="1" applyProtection="1">
      <alignment horizontal="left" vertical="center" wrapText="1" indent="1"/>
    </xf>
    <xf numFmtId="0" fontId="11" fillId="0" borderId="0" xfId="0" applyFont="1" applyAlignment="1" applyProtection="1">
      <alignment horizontal="center"/>
    </xf>
    <xf numFmtId="0" fontId="0" fillId="0" borderId="0" xfId="0" applyAlignment="1" applyProtection="1"/>
    <xf numFmtId="0" fontId="1" fillId="0" borderId="0" xfId="0" applyFont="1" applyProtection="1"/>
    <xf numFmtId="0" fontId="0" fillId="0" borderId="0" xfId="0" applyFont="1" applyAlignment="1" applyProtection="1"/>
    <xf numFmtId="0" fontId="0" fillId="0" borderId="0" xfId="0" applyAlignment="1" applyProtection="1">
      <alignment wrapText="1"/>
    </xf>
    <xf numFmtId="0" fontId="0" fillId="0" borderId="0" xfId="0" applyFont="1" applyAlignment="1" applyProtection="1">
      <alignment horizontal="right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vertical="center" wrapText="1"/>
    </xf>
    <xf numFmtId="0" fontId="0" fillId="3" borderId="8" xfId="0" applyFill="1" applyBorder="1" applyAlignment="1" applyProtection="1">
      <alignment horizontal="center" vertical="center"/>
    </xf>
    <xf numFmtId="3" fontId="0" fillId="0" borderId="0" xfId="0" applyNumberFormat="1" applyFont="1" applyAlignment="1" applyProtection="1">
      <alignment horizontal="right"/>
    </xf>
    <xf numFmtId="0" fontId="3" fillId="0" borderId="2" xfId="0" applyFont="1" applyBorder="1" applyAlignment="1" applyProtection="1">
      <alignment vertical="center" wrapText="1"/>
    </xf>
    <xf numFmtId="0" fontId="0" fillId="0" borderId="0" xfId="0" applyFont="1" applyBorder="1" applyProtection="1"/>
    <xf numFmtId="3" fontId="0" fillId="0" borderId="0" xfId="0" applyNumberFormat="1" applyProtection="1"/>
    <xf numFmtId="0" fontId="8" fillId="0" borderId="0" xfId="0" applyFont="1" applyAlignment="1" applyProtection="1"/>
    <xf numFmtId="0" fontId="1" fillId="0" borderId="2" xfId="0" applyFont="1" applyBorder="1" applyAlignment="1" applyProtection="1">
      <alignment vertical="center" wrapText="1"/>
    </xf>
    <xf numFmtId="0" fontId="1" fillId="0" borderId="12" xfId="0" applyFont="1" applyBorder="1" applyAlignment="1" applyProtection="1">
      <alignment vertical="center" wrapText="1"/>
    </xf>
    <xf numFmtId="0" fontId="6" fillId="0" borderId="2" xfId="0" applyFont="1" applyBorder="1" applyAlignment="1" applyProtection="1">
      <alignment vertical="center" wrapText="1"/>
    </xf>
    <xf numFmtId="0" fontId="5" fillId="0" borderId="7" xfId="0" applyFont="1" applyBorder="1" applyAlignment="1" applyProtection="1">
      <alignment vertical="center" wrapText="1"/>
    </xf>
    <xf numFmtId="0" fontId="1" fillId="0" borderId="7" xfId="0" applyFont="1" applyBorder="1" applyAlignment="1" applyProtection="1">
      <alignment vertical="center" wrapText="1"/>
    </xf>
    <xf numFmtId="0" fontId="0" fillId="4" borderId="0" xfId="0" applyFill="1" applyBorder="1" applyProtection="1"/>
    <xf numFmtId="0" fontId="12" fillId="0" borderId="0" xfId="0" applyFont="1" applyAlignment="1" applyProtection="1">
      <alignment vertical="center" wrapText="1"/>
    </xf>
    <xf numFmtId="0" fontId="12" fillId="0" borderId="0" xfId="0" applyFont="1" applyAlignment="1" applyProtection="1">
      <alignment vertical="center"/>
    </xf>
    <xf numFmtId="0" fontId="12" fillId="0" borderId="0" xfId="0" applyFont="1" applyAlignment="1" applyProtection="1">
      <alignment horizontal="left" vertical="top" wrapText="1"/>
    </xf>
    <xf numFmtId="0" fontId="0" fillId="0" borderId="0" xfId="0" applyAlignment="1" applyProtection="1">
      <alignment horizontal="left" wrapText="1"/>
    </xf>
    <xf numFmtId="0" fontId="9" fillId="5" borderId="5" xfId="0" applyFont="1" applyFill="1" applyBorder="1" applyAlignment="1" applyProtection="1">
      <alignment horizontal="center" vertical="center" textRotation="90" wrapText="1"/>
    </xf>
    <xf numFmtId="0" fontId="9" fillId="5" borderId="6" xfId="0" applyFont="1" applyFill="1" applyBorder="1" applyAlignment="1" applyProtection="1">
      <alignment horizontal="center" vertical="center" textRotation="90" wrapText="1"/>
    </xf>
    <xf numFmtId="0" fontId="9" fillId="5" borderId="9" xfId="0" applyFont="1" applyFill="1" applyBorder="1" applyAlignment="1" applyProtection="1">
      <alignment horizontal="center" vertical="center" textRotation="90" wrapText="1"/>
    </xf>
    <xf numFmtId="0" fontId="9" fillId="5" borderId="1" xfId="0" applyFont="1" applyFill="1" applyBorder="1" applyAlignment="1" applyProtection="1">
      <alignment horizontal="center" vertical="center" textRotation="90" wrapText="1"/>
    </xf>
    <xf numFmtId="0" fontId="9" fillId="5" borderId="10" xfId="0" applyFont="1" applyFill="1" applyBorder="1" applyAlignment="1" applyProtection="1">
      <alignment horizontal="center" vertical="center" textRotation="90" wrapText="1"/>
    </xf>
    <xf numFmtId="0" fontId="9" fillId="5" borderId="11" xfId="0" applyFont="1" applyFill="1" applyBorder="1" applyAlignment="1" applyProtection="1">
      <alignment horizontal="center" vertical="center" textRotation="90" wrapText="1"/>
    </xf>
    <xf numFmtId="0" fontId="1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 wrapText="1"/>
    </xf>
    <xf numFmtId="0" fontId="12" fillId="0" borderId="0" xfId="0" applyFont="1" applyAlignment="1" applyProtection="1">
      <alignment horizontal="left" wrapText="1"/>
    </xf>
    <xf numFmtId="0" fontId="9" fillId="5" borderId="5" xfId="0" applyFont="1" applyFill="1" applyBorder="1" applyAlignment="1" applyProtection="1">
      <alignment horizontal="center" vertical="center" textRotation="90"/>
    </xf>
    <xf numFmtId="0" fontId="9" fillId="5" borderId="9" xfId="0" applyFont="1" applyFill="1" applyBorder="1" applyAlignment="1" applyProtection="1">
      <alignment horizontal="center" vertical="center" textRotation="90"/>
    </xf>
    <xf numFmtId="0" fontId="9" fillId="5" borderId="10" xfId="0" applyFont="1" applyFill="1" applyBorder="1" applyAlignment="1" applyProtection="1">
      <alignment horizontal="center" vertical="center" textRotation="90"/>
    </xf>
    <xf numFmtId="0" fontId="10" fillId="6" borderId="5" xfId="0" applyFont="1" applyFill="1" applyBorder="1" applyAlignment="1" applyProtection="1">
      <alignment horizontal="center" vertical="center" textRotation="90"/>
    </xf>
    <xf numFmtId="0" fontId="10" fillId="6" borderId="6" xfId="0" applyFont="1" applyFill="1" applyBorder="1" applyAlignment="1" applyProtection="1">
      <alignment horizontal="center" vertical="center" textRotation="90"/>
    </xf>
    <xf numFmtId="0" fontId="10" fillId="6" borderId="9" xfId="0" applyFont="1" applyFill="1" applyBorder="1" applyAlignment="1" applyProtection="1">
      <alignment horizontal="center" vertical="center" textRotation="90"/>
    </xf>
    <xf numFmtId="0" fontId="10" fillId="6" borderId="1" xfId="0" applyFont="1" applyFill="1" applyBorder="1" applyAlignment="1" applyProtection="1">
      <alignment horizontal="center" vertical="center" textRotation="90"/>
    </xf>
    <xf numFmtId="0" fontId="10" fillId="6" borderId="10" xfId="0" applyFont="1" applyFill="1" applyBorder="1" applyAlignment="1" applyProtection="1">
      <alignment horizontal="center" vertical="center" textRotation="90"/>
    </xf>
    <xf numFmtId="0" fontId="10" fillId="6" borderId="11" xfId="0" applyFont="1" applyFill="1" applyBorder="1" applyAlignment="1" applyProtection="1">
      <alignment horizontal="center" vertical="center" textRotation="90"/>
    </xf>
    <xf numFmtId="0" fontId="9" fillId="5" borderId="6" xfId="0" applyFont="1" applyFill="1" applyBorder="1" applyAlignment="1" applyProtection="1">
      <alignment horizontal="center" vertical="center" textRotation="90"/>
    </xf>
    <xf numFmtId="0" fontId="9" fillId="5" borderId="1" xfId="0" applyFont="1" applyFill="1" applyBorder="1" applyAlignment="1" applyProtection="1">
      <alignment horizontal="center" vertical="center" textRotation="90"/>
    </xf>
    <xf numFmtId="0" fontId="9" fillId="5" borderId="11" xfId="0" applyFont="1" applyFill="1" applyBorder="1" applyAlignment="1" applyProtection="1">
      <alignment horizontal="center" vertical="center" textRotation="90"/>
    </xf>
    <xf numFmtId="0" fontId="9" fillId="6" borderId="6" xfId="0" applyFont="1" applyFill="1" applyBorder="1" applyAlignment="1" applyProtection="1">
      <alignment horizontal="center" vertical="center" textRotation="90"/>
    </xf>
    <xf numFmtId="0" fontId="9" fillId="6" borderId="1" xfId="0" applyFont="1" applyFill="1" applyBorder="1" applyAlignment="1" applyProtection="1">
      <alignment horizontal="center" vertical="center" textRotation="90"/>
    </xf>
    <xf numFmtId="0" fontId="9" fillId="6" borderId="11" xfId="0" applyFont="1" applyFill="1" applyBorder="1" applyAlignment="1" applyProtection="1">
      <alignment horizontal="center" vertical="center" textRotation="90"/>
    </xf>
    <xf numFmtId="0" fontId="9" fillId="6" borderId="5" xfId="0" applyFont="1" applyFill="1" applyBorder="1" applyAlignment="1" applyProtection="1">
      <alignment horizontal="center" vertical="center" textRotation="90"/>
    </xf>
    <xf numFmtId="0" fontId="9" fillId="6" borderId="9" xfId="0" applyFont="1" applyFill="1" applyBorder="1" applyAlignment="1" applyProtection="1">
      <alignment horizontal="center" vertical="center" textRotation="90"/>
    </xf>
    <xf numFmtId="0" fontId="9" fillId="6" borderId="10" xfId="0" applyFont="1" applyFill="1" applyBorder="1" applyAlignment="1" applyProtection="1">
      <alignment horizontal="center" vertical="center" textRotation="90"/>
    </xf>
    <xf numFmtId="0" fontId="0" fillId="0" borderId="0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CAE3"/>
      <color rgb="FFCAE380"/>
      <color rgb="FF2100C7"/>
      <color rgb="FFC70095"/>
      <color rgb="FF94C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Equipo de Trabajo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Formulario!$DS$12:$DS$13</c:f>
              <c:strCache>
                <c:ptCount val="2"/>
                <c:pt idx="0">
                  <c:v>Equipo Pastoral con Jóvenes</c:v>
                </c:pt>
                <c:pt idx="1">
                  <c:v>Responsable</c:v>
                </c:pt>
              </c:strCache>
            </c:strRef>
          </c:cat>
          <c:val>
            <c:numRef>
              <c:f>Formulario!$DT$12:$DT$13</c:f>
              <c:numCache>
                <c:formatCode>General</c:formatCode>
                <c:ptCount val="2"/>
                <c:pt idx="0">
                  <c:v>1.75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3-4196-9FDB-1D8B94FB9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Formulario!$DV$12:$DV$18</c:f>
              <c:strCache>
                <c:ptCount val="7"/>
                <c:pt idx="0">
                  <c:v>Equipo de trabajo</c:v>
                </c:pt>
                <c:pt idx="1">
                  <c:v>Proyecto Evangelizador </c:v>
                </c:pt>
                <c:pt idx="2">
                  <c:v>Procesos/Itinerario</c:v>
                </c:pt>
                <c:pt idx="3">
                  <c:v>Procesos/Transversales</c:v>
                </c:pt>
                <c:pt idx="4">
                  <c:v>Metodología/Acompañamiento</c:v>
                </c:pt>
                <c:pt idx="5">
                  <c:v>Metodología/Personalización</c:v>
                </c:pt>
                <c:pt idx="6">
                  <c:v>Comunicación y redes </c:v>
                </c:pt>
              </c:strCache>
            </c:strRef>
          </c:cat>
          <c:val>
            <c:numRef>
              <c:f>Formulario!$DY$12:$DY$18</c:f>
              <c:numCache>
                <c:formatCode>General</c:formatCode>
                <c:ptCount val="7"/>
                <c:pt idx="0">
                  <c:v>8.75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0-485E-9754-506C483FB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31632"/>
        <c:axId val="256309696"/>
      </c:radarChart>
      <c:catAx>
        <c:axId val="25643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56309696"/>
        <c:crosses val="autoZero"/>
        <c:auto val="1"/>
        <c:lblAlgn val="ctr"/>
        <c:lblOffset val="100"/>
        <c:noMultiLvlLbl val="0"/>
      </c:catAx>
      <c:valAx>
        <c:axId val="25630969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5643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Proyecto Evangelizador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Formulario!$DS$18</c:f>
              <c:strCache>
                <c:ptCount val="1"/>
                <c:pt idx="0">
                  <c:v>Proyecto</c:v>
                </c:pt>
              </c:strCache>
            </c:strRef>
          </c:cat>
          <c:val>
            <c:numRef>
              <c:f>Formulario!$DT$18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6-46D1-B32D-55B1DC19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Proceso - Itinerario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Formulario!$DS$25:$DS$27</c:f>
              <c:strCache>
                <c:ptCount val="3"/>
                <c:pt idx="0">
                  <c:v>Itinerario Pastoral con Jóvenes</c:v>
                </c:pt>
                <c:pt idx="1">
                  <c:v>Comunidad Cristiana </c:v>
                </c:pt>
                <c:pt idx="2">
                  <c:v>Discernimiento vocacional</c:v>
                </c:pt>
              </c:strCache>
            </c:strRef>
          </c:cat>
          <c:val>
            <c:numRef>
              <c:f>Formulario!$DT$25:$DT$27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50-4E82-AD74-B2AF2A0DA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Proceso - Transversales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Formulario!$DS$29:$DS$30</c:f>
              <c:strCache>
                <c:ptCount val="2"/>
                <c:pt idx="0">
                  <c:v>Oferta grupos de fe</c:v>
                </c:pt>
                <c:pt idx="1">
                  <c:v>Fomación de líderes </c:v>
                </c:pt>
              </c:strCache>
            </c:strRef>
          </c:cat>
          <c:val>
            <c:numRef>
              <c:f>Formulario!$DT$29:$DT$30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3-49DB-9449-D71E88FEB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Metodología - Acompañamiento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Formulario!$DS$35:$DS$37</c:f>
              <c:strCache>
                <c:ptCount val="3"/>
                <c:pt idx="0">
                  <c:v>Acompañamiento personal</c:v>
                </c:pt>
                <c:pt idx="1">
                  <c:v>Encuentros con comunidades cristianas </c:v>
                </c:pt>
                <c:pt idx="2">
                  <c:v>Proceso de pastoral coherente </c:v>
                </c:pt>
              </c:strCache>
            </c:strRef>
          </c:cat>
          <c:val>
            <c:numRef>
              <c:f>Formulario!$DT$35:$DT$37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4-4E5C-836C-F5D67C3CF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Metodología - Personalización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Formulario!$DS$39:$DS$41</c:f>
              <c:strCache>
                <c:ptCount val="3"/>
                <c:pt idx="0">
                  <c:v>Pedagogía experiencial</c:v>
                </c:pt>
                <c:pt idx="1">
                  <c:v>Experiencias fuertes </c:v>
                </c:pt>
                <c:pt idx="2">
                  <c:v>Momentos de discernimiento</c:v>
                </c:pt>
              </c:strCache>
            </c:strRef>
          </c:cat>
          <c:val>
            <c:numRef>
              <c:f>Formulario!$DT$39:$DT$41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E-48B0-8319-F2AF52F77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Comunicación y Redes</a:t>
            </a:r>
          </a:p>
        </c:rich>
      </c:tx>
      <c:layout>
        <c:manualLayout>
          <c:xMode val="edge"/>
          <c:yMode val="edge"/>
          <c:x val="0.37589076683734346"/>
          <c:y val="3.2584882886852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4C700"/>
            </a:solidFill>
            <a:ln>
              <a:noFill/>
            </a:ln>
            <a:effectLst/>
          </c:spPr>
          <c:invertIfNegative val="0"/>
          <c:cat>
            <c:strRef>
              <c:f>Formulario!$DS$43:$DS$44</c:f>
              <c:strCache>
                <c:ptCount val="2"/>
                <c:pt idx="0">
                  <c:v>Estrategia de comunicación </c:v>
                </c:pt>
                <c:pt idx="1">
                  <c:v>Encuentros interinstitucionales </c:v>
                </c:pt>
              </c:strCache>
            </c:strRef>
          </c:cat>
          <c:val>
            <c:numRef>
              <c:f>Formulario!$DT$43:$DT$44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5-4E68-89FB-C134DFE7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638032"/>
        <c:axId val="244185616"/>
      </c:barChart>
      <c:catAx>
        <c:axId val="238638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185616"/>
        <c:crosses val="autoZero"/>
        <c:auto val="1"/>
        <c:lblAlgn val="ctr"/>
        <c:lblOffset val="100"/>
        <c:noMultiLvlLbl val="0"/>
      </c:catAx>
      <c:valAx>
        <c:axId val="24418561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86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Equipo de Trabajo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Formulario!$EA$12:$EA$15</c:f>
              <c:strCache>
                <c:ptCount val="4"/>
                <c:pt idx="0">
                  <c:v>Formación</c:v>
                </c:pt>
                <c:pt idx="1">
                  <c:v>Estabilidad</c:v>
                </c:pt>
                <c:pt idx="2">
                  <c:v>Recursos</c:v>
                </c:pt>
                <c:pt idx="3">
                  <c:v>Comunicación</c:v>
                </c:pt>
              </c:strCache>
            </c:strRef>
          </c:cat>
          <c:val>
            <c:numRef>
              <c:f>Formulario!$EB$12:$EB$15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7-484A-9925-665ED618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Proyecto</a:t>
            </a:r>
            <a:r>
              <a:rPr lang="es-CO" baseline="0"/>
              <a:t> Evangelizador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Formulario!$EA$18:$EA$24</c:f>
              <c:strCache>
                <c:ptCount val="7"/>
                <c:pt idx="0">
                  <c:v>Programación anual</c:v>
                </c:pt>
                <c:pt idx="1">
                  <c:v>Evaluación periódica </c:v>
                </c:pt>
                <c:pt idx="2">
                  <c:v>Plan de mejora </c:v>
                </c:pt>
                <c:pt idx="3">
                  <c:v>Presupuesto</c:v>
                </c:pt>
                <c:pt idx="4">
                  <c:v>Principios </c:v>
                </c:pt>
                <c:pt idx="5">
                  <c:v>Proceso de selección </c:v>
                </c:pt>
                <c:pt idx="6">
                  <c:v>Estructura pastoral</c:v>
                </c:pt>
              </c:strCache>
            </c:strRef>
          </c:cat>
          <c:val>
            <c:numRef>
              <c:f>Formulario!$EB$18:$EB$24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F-443A-BDEC-3B117B03E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Proceso - Itinerario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Formulario!$EA$26</c:f>
              <c:strCache>
                <c:ptCount val="1"/>
                <c:pt idx="0">
                  <c:v>Discernimiento vocacional</c:v>
                </c:pt>
              </c:strCache>
            </c:strRef>
          </c:cat>
          <c:val>
            <c:numRef>
              <c:f>Formulario!$EB$26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C-477C-B438-F9BEF07A6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Proceso - Transversales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Formulario!$EA$29:$EA$32</c:f>
              <c:strCache>
                <c:ptCount val="4"/>
                <c:pt idx="0">
                  <c:v>Voluntariado/servicio</c:v>
                </c:pt>
                <c:pt idx="1">
                  <c:v>Tiempo libre </c:v>
                </c:pt>
                <c:pt idx="2">
                  <c:v>Celebraciones litúrgicas </c:v>
                </c:pt>
                <c:pt idx="3">
                  <c:v>Oración</c:v>
                </c:pt>
              </c:strCache>
            </c:strRef>
          </c:cat>
          <c:val>
            <c:numRef>
              <c:f>Formulario!$EB$29:$EB$32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77F-8668-BA3A0C11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Metodología - Acompañamiento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Formulario!$EA$35</c:f>
              <c:strCache>
                <c:ptCount val="1"/>
                <c:pt idx="0">
                  <c:v>Formación en acompañamiento</c:v>
                </c:pt>
              </c:strCache>
            </c:strRef>
          </c:cat>
          <c:val>
            <c:numRef>
              <c:f>Formulario!$EB$35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9-4E86-A81E-0DA4F52A2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Metodología - Personalización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Formulario!$EA$39</c:f>
              <c:strCache>
                <c:ptCount val="1"/>
                <c:pt idx="0">
                  <c:v>Jóvenes líderes </c:v>
                </c:pt>
              </c:strCache>
            </c:strRef>
          </c:cat>
          <c:val>
            <c:numRef>
              <c:f>Formulario!$EB$39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6-4C74-891F-5AEB1C44C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Comunicación y Redes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70095"/>
            </a:solidFill>
            <a:ln>
              <a:noFill/>
            </a:ln>
            <a:effectLst/>
          </c:spPr>
          <c:invertIfNegative val="0"/>
          <c:cat>
            <c:strRef>
              <c:f>Formulario!$EA$43:$EA$46</c:f>
              <c:strCache>
                <c:ptCount val="4"/>
                <c:pt idx="0">
                  <c:v>Redes sociales </c:v>
                </c:pt>
                <c:pt idx="1">
                  <c:v>Trabajo en red eclesial</c:v>
                </c:pt>
                <c:pt idx="2">
                  <c:v>Integración a las familias </c:v>
                </c:pt>
                <c:pt idx="3">
                  <c:v>Análisis de la realidad local</c:v>
                </c:pt>
              </c:strCache>
            </c:strRef>
          </c:cat>
          <c:val>
            <c:numRef>
              <c:f>Formulario!$EB$43:$EB$46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6-4B59-8C70-3B22C6F7D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8054879"/>
        <c:axId val="482631551"/>
      </c:barChart>
      <c:catAx>
        <c:axId val="768054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2631551"/>
        <c:crosses val="autoZero"/>
        <c:auto val="1"/>
        <c:lblAlgn val="ctr"/>
        <c:lblOffset val="100"/>
        <c:noMultiLvlLbl val="0"/>
      </c:catAx>
      <c:valAx>
        <c:axId val="4826315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05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image" Target="../media/image2.png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78</xdr:row>
      <xdr:rowOff>50350</xdr:rowOff>
    </xdr:from>
    <xdr:to>
      <xdr:col>4</xdr:col>
      <xdr:colOff>2654300</xdr:colOff>
      <xdr:row>93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5CC18F44-2375-4A21-8A05-ED6261BBE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508299</xdr:colOff>
      <xdr:row>0</xdr:row>
      <xdr:rowOff>125506</xdr:rowOff>
    </xdr:from>
    <xdr:to>
      <xdr:col>7</xdr:col>
      <xdr:colOff>555811</xdr:colOff>
      <xdr:row>48</xdr:row>
      <xdr:rowOff>143435</xdr:rowOff>
    </xdr:to>
    <xdr:sp macro="" textlink="">
      <xdr:nvSpPr>
        <xdr:cNvPr id="18" name="Rectángulo: una sola esquina cortada 17">
          <a:extLst>
            <a:ext uri="{FF2B5EF4-FFF2-40B4-BE49-F238E27FC236}">
              <a16:creationId xmlns:a16="http://schemas.microsoft.com/office/drawing/2014/main" id="{8A6436AF-C596-48CA-B2FC-C83BF14A2625}"/>
            </a:ext>
          </a:extLst>
        </xdr:cNvPr>
        <xdr:cNvSpPr/>
      </xdr:nvSpPr>
      <xdr:spPr>
        <a:xfrm>
          <a:off x="508299" y="125506"/>
          <a:ext cx="7559936" cy="17131553"/>
        </a:xfrm>
        <a:prstGeom prst="snip1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241300</xdr:colOff>
      <xdr:row>53</xdr:row>
      <xdr:rowOff>36753</xdr:rowOff>
    </xdr:from>
    <xdr:to>
      <xdr:col>7</xdr:col>
      <xdr:colOff>342900</xdr:colOff>
      <xdr:row>69</xdr:row>
      <xdr:rowOff>98609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EF30DA69-6B7F-4902-BAB6-75A23E1D4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495300</xdr:colOff>
      <xdr:row>49</xdr:row>
      <xdr:rowOff>68580</xdr:rowOff>
    </xdr:from>
    <xdr:to>
      <xdr:col>7</xdr:col>
      <xdr:colOff>571500</xdr:colOff>
      <xdr:row>70</xdr:row>
      <xdr:rowOff>22860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94B9D069-D4CE-42E3-A046-7C4D4870DA2C}"/>
            </a:ext>
          </a:extLst>
        </xdr:cNvPr>
        <xdr:cNvSpPr/>
      </xdr:nvSpPr>
      <xdr:spPr>
        <a:xfrm>
          <a:off x="495300" y="19924754"/>
          <a:ext cx="8513417" cy="4007236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482600</xdr:colOff>
      <xdr:row>71</xdr:row>
      <xdr:rowOff>88900</xdr:rowOff>
    </xdr:from>
    <xdr:to>
      <xdr:col>7</xdr:col>
      <xdr:colOff>558800</xdr:colOff>
      <xdr:row>190</xdr:row>
      <xdr:rowOff>0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A46004D9-283C-4585-B4C2-5112C88F0C97}"/>
            </a:ext>
          </a:extLst>
        </xdr:cNvPr>
        <xdr:cNvSpPr/>
      </xdr:nvSpPr>
      <xdr:spPr>
        <a:xfrm>
          <a:off x="482600" y="23749000"/>
          <a:ext cx="7594600" cy="21132800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488279</xdr:colOff>
      <xdr:row>49</xdr:row>
      <xdr:rowOff>91591</xdr:rowOff>
    </xdr:from>
    <xdr:to>
      <xdr:col>2</xdr:col>
      <xdr:colOff>279669</xdr:colOff>
      <xdr:row>52</xdr:row>
      <xdr:rowOff>11084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4C50ADFB-055F-4AEE-B26F-3E148971B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279" y="19713091"/>
          <a:ext cx="591490" cy="579893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</xdr:colOff>
      <xdr:row>72</xdr:row>
      <xdr:rowOff>22860</xdr:rowOff>
    </xdr:from>
    <xdr:to>
      <xdr:col>2</xdr:col>
      <xdr:colOff>331321</xdr:colOff>
      <xdr:row>74</xdr:row>
      <xdr:rowOff>160100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A2BDD579-71CE-4575-9489-BDFC00E42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23860760"/>
          <a:ext cx="590401" cy="58174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94</xdr:row>
      <xdr:rowOff>165100</xdr:rowOff>
    </xdr:from>
    <xdr:to>
      <xdr:col>4</xdr:col>
      <xdr:colOff>2648175</xdr:colOff>
      <xdr:row>110</xdr:row>
      <xdr:rowOff>76200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25D30EA3-DCAE-4B0C-8B26-E0948629E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114300</xdr:colOff>
      <xdr:row>111</xdr:row>
      <xdr:rowOff>38100</xdr:rowOff>
    </xdr:from>
    <xdr:to>
      <xdr:col>4</xdr:col>
      <xdr:colOff>2635475</xdr:colOff>
      <xdr:row>125</xdr:row>
      <xdr:rowOff>88900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96A62873-ECE3-465F-84DD-B47B6853F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88900</xdr:colOff>
      <xdr:row>126</xdr:row>
      <xdr:rowOff>139700</xdr:rowOff>
    </xdr:from>
    <xdr:to>
      <xdr:col>4</xdr:col>
      <xdr:colOff>2635475</xdr:colOff>
      <xdr:row>141</xdr:row>
      <xdr:rowOff>38100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341402-A48A-43FA-98EF-0916DAC9D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50800</xdr:colOff>
      <xdr:row>142</xdr:row>
      <xdr:rowOff>50800</xdr:rowOff>
    </xdr:from>
    <xdr:to>
      <xdr:col>4</xdr:col>
      <xdr:colOff>2648175</xdr:colOff>
      <xdr:row>156</xdr:row>
      <xdr:rowOff>127000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BE2C251-7E31-41D0-A44C-EE49D172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157</xdr:row>
      <xdr:rowOff>165100</xdr:rowOff>
    </xdr:from>
    <xdr:to>
      <xdr:col>4</xdr:col>
      <xdr:colOff>2648175</xdr:colOff>
      <xdr:row>172</xdr:row>
      <xdr:rowOff>63500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0727BA1-C7C2-4D49-A6BC-5A66960D3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25400</xdr:colOff>
      <xdr:row>173</xdr:row>
      <xdr:rowOff>101600</xdr:rowOff>
    </xdr:from>
    <xdr:to>
      <xdr:col>4</xdr:col>
      <xdr:colOff>2635475</xdr:colOff>
      <xdr:row>188</xdr:row>
      <xdr:rowOff>12700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C6C178CB-2DAD-44F1-8AF7-66EE79DA0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2762250</xdr:colOff>
      <xdr:row>78</xdr:row>
      <xdr:rowOff>50800</xdr:rowOff>
    </xdr:from>
    <xdr:to>
      <xdr:col>7</xdr:col>
      <xdr:colOff>419100</xdr:colOff>
      <xdr:row>93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8A0BF84-C52E-496A-9EDD-FDC725F00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2794000</xdr:colOff>
      <xdr:row>94</xdr:row>
      <xdr:rowOff>165100</xdr:rowOff>
    </xdr:from>
    <xdr:to>
      <xdr:col>7</xdr:col>
      <xdr:colOff>419100</xdr:colOff>
      <xdr:row>110</xdr:row>
      <xdr:rowOff>63500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BC1C0E94-30A4-4E42-B77E-14E129C60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2781300</xdr:colOff>
      <xdr:row>111</xdr:row>
      <xdr:rowOff>25400</xdr:rowOff>
    </xdr:from>
    <xdr:to>
      <xdr:col>7</xdr:col>
      <xdr:colOff>419100</xdr:colOff>
      <xdr:row>125</xdr:row>
      <xdr:rowOff>76200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3687AF18-D965-4686-8F21-C2591E694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2794000</xdr:colOff>
      <xdr:row>126</xdr:row>
      <xdr:rowOff>152400</xdr:rowOff>
    </xdr:from>
    <xdr:to>
      <xdr:col>7</xdr:col>
      <xdr:colOff>444500</xdr:colOff>
      <xdr:row>141</xdr:row>
      <xdr:rowOff>63500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A683C26D-5851-41CA-96B8-62F95C4EE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2794000</xdr:colOff>
      <xdr:row>142</xdr:row>
      <xdr:rowOff>38100</xdr:rowOff>
    </xdr:from>
    <xdr:to>
      <xdr:col>7</xdr:col>
      <xdr:colOff>444500</xdr:colOff>
      <xdr:row>156</xdr:row>
      <xdr:rowOff>127000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9BF8272-529D-4B83-ABAC-6CAFFCCB07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2794000</xdr:colOff>
      <xdr:row>158</xdr:row>
      <xdr:rowOff>12700</xdr:rowOff>
    </xdr:from>
    <xdr:to>
      <xdr:col>7</xdr:col>
      <xdr:colOff>444500</xdr:colOff>
      <xdr:row>172</xdr:row>
      <xdr:rowOff>76200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7087ACF5-7874-40BA-8B58-AF9141CA5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2781300</xdr:colOff>
      <xdr:row>173</xdr:row>
      <xdr:rowOff>114300</xdr:rowOff>
    </xdr:from>
    <xdr:to>
      <xdr:col>7</xdr:col>
      <xdr:colOff>457200</xdr:colOff>
      <xdr:row>188</xdr:row>
      <xdr:rowOff>25400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2AED04E0-B1FB-4AC9-A799-B78D30466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254000</xdr:colOff>
      <xdr:row>73</xdr:row>
      <xdr:rowOff>254000</xdr:rowOff>
    </xdr:from>
    <xdr:to>
      <xdr:col>4</xdr:col>
      <xdr:colOff>2501900</xdr:colOff>
      <xdr:row>78</xdr:row>
      <xdr:rowOff>165100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C6AA718-F492-4BCF-B48D-54ADB111A6F9}"/>
            </a:ext>
          </a:extLst>
        </xdr:cNvPr>
        <xdr:cNvSpPr/>
      </xdr:nvSpPr>
      <xdr:spPr>
        <a:xfrm>
          <a:off x="762000" y="24269700"/>
          <a:ext cx="33909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94C700"/>
              </a:solidFill>
            </a:rPr>
            <a:t>ELEMENTOS</a:t>
          </a:r>
          <a:r>
            <a:rPr lang="es-CO" sz="1800" b="1" baseline="0">
              <a:solidFill>
                <a:schemeClr val="accent6"/>
              </a:solidFill>
            </a:rPr>
            <a:t> </a:t>
          </a:r>
          <a:r>
            <a:rPr lang="es-CO" sz="1800" b="1" baseline="0">
              <a:solidFill>
                <a:srgbClr val="94C700"/>
              </a:solidFill>
            </a:rPr>
            <a:t>ESENCIALES</a:t>
          </a:r>
          <a:r>
            <a:rPr lang="es-CO" sz="1800" b="1" baseline="0">
              <a:solidFill>
                <a:schemeClr val="accent6"/>
              </a:solidFill>
            </a:rPr>
            <a:t> </a:t>
          </a:r>
          <a:r>
            <a:rPr lang="es-CO" sz="1800" b="1" baseline="0">
              <a:solidFill>
                <a:srgbClr val="94C700"/>
              </a:solidFill>
            </a:rPr>
            <a:t>POR ÁREA</a:t>
          </a:r>
          <a:endParaRPr lang="es-CO" sz="1800" b="1">
            <a:solidFill>
              <a:srgbClr val="94C700"/>
            </a:solidFill>
          </a:endParaRPr>
        </a:p>
      </xdr:txBody>
    </xdr:sp>
    <xdr:clientData/>
  </xdr:twoCellAnchor>
  <xdr:twoCellAnchor>
    <xdr:from>
      <xdr:col>4</xdr:col>
      <xdr:colOff>2679700</xdr:colOff>
      <xdr:row>73</xdr:row>
      <xdr:rowOff>228600</xdr:rowOff>
    </xdr:from>
    <xdr:to>
      <xdr:col>7</xdr:col>
      <xdr:colOff>203200</xdr:colOff>
      <xdr:row>78</xdr:row>
      <xdr:rowOff>139700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393777A6-6F52-497A-BCF4-5F87B9FCF06A}"/>
            </a:ext>
          </a:extLst>
        </xdr:cNvPr>
        <xdr:cNvSpPr/>
      </xdr:nvSpPr>
      <xdr:spPr>
        <a:xfrm>
          <a:off x="4330700" y="24244300"/>
          <a:ext cx="33909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C70095"/>
              </a:solidFill>
            </a:rPr>
            <a:t>ELEMENTOS</a:t>
          </a:r>
          <a:r>
            <a:rPr lang="es-CO" sz="1800" b="1" baseline="0">
              <a:solidFill>
                <a:srgbClr val="C70095"/>
              </a:solidFill>
            </a:rPr>
            <a:t> COMPLEMENTARIOS POR ÁREA</a:t>
          </a:r>
          <a:endParaRPr lang="es-CO" sz="1800" b="1">
            <a:solidFill>
              <a:srgbClr val="C70095"/>
            </a:solidFill>
          </a:endParaRPr>
        </a:p>
      </xdr:txBody>
    </xdr:sp>
    <xdr:clientData/>
  </xdr:twoCellAnchor>
  <xdr:twoCellAnchor editAs="oneCell">
    <xdr:from>
      <xdr:col>0</xdr:col>
      <xdr:colOff>444501</xdr:colOff>
      <xdr:row>0</xdr:row>
      <xdr:rowOff>63501</xdr:rowOff>
    </xdr:from>
    <xdr:to>
      <xdr:col>4</xdr:col>
      <xdr:colOff>53357</xdr:colOff>
      <xdr:row>6</xdr:row>
      <xdr:rowOff>50801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ED72B2-3464-4DED-AB64-9C63059EC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1" y="63501"/>
          <a:ext cx="1259856" cy="107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A4D8-F245-4B75-836C-35F359AE7E5B}">
  <sheetPr codeName="Hoja3"/>
  <dimension ref="A3:EB78"/>
  <sheetViews>
    <sheetView showGridLines="0" tabSelected="1" topLeftCell="B1" zoomScale="115" zoomScaleNormal="115" workbookViewId="0">
      <selection activeCell="I11" sqref="I11"/>
    </sheetView>
  </sheetViews>
  <sheetFormatPr baseColWidth="10" defaultColWidth="11.5" defaultRowHeight="15" x14ac:dyDescent="0.2"/>
  <cols>
    <col min="1" max="1" width="7.5" style="7" customWidth="1"/>
    <col min="2" max="2" width="4.1640625" style="7" customWidth="1"/>
    <col min="3" max="3" width="5.83203125" style="7" customWidth="1"/>
    <col min="4" max="4" width="6.6640625" style="8" customWidth="1"/>
    <col min="5" max="5" width="57.1640625" style="10" customWidth="1"/>
    <col min="6" max="6" width="22.33203125" style="4" customWidth="1"/>
    <col min="7" max="7" width="7.1640625" style="2" customWidth="1"/>
    <col min="8" max="8" width="11.5" style="2" customWidth="1"/>
    <col min="9" max="9" width="11.1640625" style="3" customWidth="1"/>
    <col min="10" max="11" width="11.83203125" style="3" customWidth="1"/>
    <col min="12" max="12" width="11.83203125" style="4" customWidth="1"/>
    <col min="13" max="32" width="11.5" style="4" customWidth="1"/>
    <col min="33" max="33" width="30.5" style="4" customWidth="1"/>
    <col min="34" max="116" width="11.5" style="4" customWidth="1"/>
    <col min="117" max="117" width="11.5" style="4"/>
    <col min="118" max="118" width="11.5" style="4" customWidth="1"/>
    <col min="119" max="119" width="28.33203125" style="4" customWidth="1"/>
    <col min="120" max="16384" width="11.5" style="4"/>
  </cols>
  <sheetData>
    <row r="3" spans="1:132" x14ac:dyDescent="0.2">
      <c r="A3" s="1" t="s">
        <v>0</v>
      </c>
      <c r="B3" s="1"/>
      <c r="C3" s="1"/>
      <c r="D3" s="37" t="s">
        <v>98</v>
      </c>
      <c r="E3" s="37"/>
      <c r="F3" s="37"/>
    </row>
    <row r="4" spans="1:132" ht="16.25" customHeight="1" x14ac:dyDescent="0.2">
      <c r="A4" s="5" t="s">
        <v>1</v>
      </c>
      <c r="B4" s="5"/>
      <c r="C4" s="5"/>
      <c r="D4" s="37"/>
      <c r="E4" s="37"/>
      <c r="F4" s="37"/>
    </row>
    <row r="5" spans="1:132" ht="13.75" customHeight="1" x14ac:dyDescent="0.2">
      <c r="A5" s="5" t="s">
        <v>2</v>
      </c>
      <c r="B5" s="5"/>
      <c r="C5" s="5"/>
      <c r="D5" s="37"/>
      <c r="E5" s="37"/>
      <c r="F5" s="37"/>
    </row>
    <row r="6" spans="1:132" ht="13.75" customHeight="1" x14ac:dyDescent="0.25">
      <c r="A6" s="5" t="s">
        <v>13</v>
      </c>
      <c r="B6" s="5"/>
      <c r="C6" s="5"/>
      <c r="D6" s="6"/>
      <c r="E6" s="6"/>
      <c r="F6" s="6"/>
    </row>
    <row r="7" spans="1:132" ht="14.5" customHeight="1" x14ac:dyDescent="0.2">
      <c r="B7" s="5"/>
      <c r="C7" s="5"/>
      <c r="E7" s="30" t="s">
        <v>97</v>
      </c>
      <c r="F7" s="30"/>
    </row>
    <row r="8" spans="1:132" x14ac:dyDescent="0.2">
      <c r="B8" s="5"/>
      <c r="C8" s="5"/>
      <c r="E8" s="30"/>
      <c r="F8" s="30"/>
    </row>
    <row r="9" spans="1:132" ht="16" thickBot="1" x14ac:dyDescent="0.25">
      <c r="A9" s="9"/>
      <c r="B9" s="9"/>
      <c r="C9" s="9"/>
      <c r="I9" s="11"/>
      <c r="J9" s="11"/>
      <c r="K9" s="11"/>
      <c r="L9" s="2"/>
    </row>
    <row r="10" spans="1:132" ht="25.25" customHeight="1" thickBot="1" x14ac:dyDescent="0.25">
      <c r="A10" s="9"/>
      <c r="B10" s="9"/>
      <c r="C10" s="9"/>
      <c r="E10" s="12" t="s">
        <v>41</v>
      </c>
      <c r="F10" s="13" t="s">
        <v>42</v>
      </c>
      <c r="I10" s="11"/>
    </row>
    <row r="11" spans="1:132" ht="43.25" customHeight="1" thickBot="1" x14ac:dyDescent="0.25">
      <c r="C11" s="40" t="s">
        <v>79</v>
      </c>
      <c r="D11" s="49"/>
      <c r="E11" s="14" t="s">
        <v>99</v>
      </c>
      <c r="F11" s="15" t="s">
        <v>1</v>
      </c>
      <c r="G11" s="2" t="s">
        <v>103</v>
      </c>
      <c r="I11" s="16" t="str">
        <f>_xlfn.IFS(F11=$A$3,"3",F11=$A$4,"1,75",F11=$A$5,"0,75",F11=$A$6,"0")</f>
        <v>1,75</v>
      </c>
      <c r="DN11" s="11"/>
      <c r="DO11" s="11"/>
      <c r="DP11" s="2" t="s">
        <v>80</v>
      </c>
    </row>
    <row r="12" spans="1:132" ht="33" thickBot="1" x14ac:dyDescent="0.25">
      <c r="C12" s="41"/>
      <c r="D12" s="50"/>
      <c r="E12" s="17" t="s">
        <v>43</v>
      </c>
      <c r="F12" s="15" t="s">
        <v>0</v>
      </c>
      <c r="G12" s="2" t="s">
        <v>104</v>
      </c>
      <c r="H12" s="18"/>
      <c r="I12" s="16" t="str">
        <f t="shared" ref="I12:I48" si="0">_xlfn.IFS(F12=$A$3,"1",F12=$A$4,"0,5",F12=$A$5,"0,25",F12=$A$6,"0")</f>
        <v>1</v>
      </c>
      <c r="DN12" s="16" t="str">
        <f>_xlfn.IFS(F11=$A$3,"3",F11=$A$4,"1,75",F11=$A$5,"0,75",F11=$A$6,"0")</f>
        <v>1,75</v>
      </c>
      <c r="DO12" s="4" t="s">
        <v>14</v>
      </c>
      <c r="DP12" s="2">
        <f>I11*1</f>
        <v>1.75</v>
      </c>
      <c r="DR12" s="19" t="str">
        <f>DN12</f>
        <v>1,75</v>
      </c>
      <c r="DS12" s="4" t="str">
        <f>DO12</f>
        <v>Equipo Pastoral con Jóvenes</v>
      </c>
      <c r="DT12" s="4">
        <f>DR12*1</f>
        <v>1.75</v>
      </c>
      <c r="DV12" s="4" t="s">
        <v>81</v>
      </c>
      <c r="DW12" s="19">
        <f>SUM(DP12:DP17)</f>
        <v>8.75</v>
      </c>
      <c r="DX12" s="4" t="s">
        <v>81</v>
      </c>
      <c r="DY12" s="4">
        <f>DW12*1</f>
        <v>8.75</v>
      </c>
      <c r="EA12" s="4" t="str">
        <f>DO13</f>
        <v>Formación</v>
      </c>
      <c r="EB12" s="4">
        <f>DP13</f>
        <v>1</v>
      </c>
    </row>
    <row r="13" spans="1:132" ht="33" thickBot="1" x14ac:dyDescent="0.25">
      <c r="A13" s="20"/>
      <c r="B13" s="20"/>
      <c r="C13" s="41"/>
      <c r="D13" s="50"/>
      <c r="E13" s="17" t="s">
        <v>44</v>
      </c>
      <c r="F13" s="15" t="s">
        <v>0</v>
      </c>
      <c r="G13" s="2" t="s">
        <v>105</v>
      </c>
      <c r="H13" s="18"/>
      <c r="I13" s="16" t="str">
        <f t="shared" si="0"/>
        <v>1</v>
      </c>
      <c r="DN13" s="16"/>
      <c r="DO13" s="4" t="s">
        <v>15</v>
      </c>
      <c r="DP13" s="2">
        <f t="shared" ref="DP13:DP49" si="1">I12*1</f>
        <v>1</v>
      </c>
      <c r="DR13" s="19" t="str">
        <f>DN15</f>
        <v>3</v>
      </c>
      <c r="DS13" s="4" t="str">
        <f>DO15</f>
        <v>Responsable</v>
      </c>
      <c r="DT13" s="4">
        <f>DR13*1</f>
        <v>3</v>
      </c>
      <c r="DV13" s="4" t="s">
        <v>82</v>
      </c>
      <c r="DW13" s="4">
        <f>SUM(DP18:DP25)</f>
        <v>10</v>
      </c>
      <c r="DX13" s="4" t="s">
        <v>82</v>
      </c>
      <c r="DY13" s="4">
        <f t="shared" ref="DY13:DY18" si="2">DW13*1</f>
        <v>10</v>
      </c>
      <c r="EA13" s="4" t="str">
        <f>DO14</f>
        <v>Estabilidad</v>
      </c>
      <c r="EB13" s="4">
        <f>DP14</f>
        <v>1</v>
      </c>
    </row>
    <row r="14" spans="1:132" ht="17" thickBot="1" x14ac:dyDescent="0.25">
      <c r="A14" s="20"/>
      <c r="B14" s="20"/>
      <c r="C14" s="41"/>
      <c r="D14" s="50"/>
      <c r="E14" s="21" t="s">
        <v>45</v>
      </c>
      <c r="F14" s="15" t="s">
        <v>0</v>
      </c>
      <c r="G14" s="2" t="s">
        <v>106</v>
      </c>
      <c r="H14" s="18"/>
      <c r="I14" s="16" t="str">
        <f>_xlfn.IFS(F14=$A$3,"3",F14=$A$4,"1,75",F14=$A$5,"0,75",F14=$A$6,"0")</f>
        <v>3</v>
      </c>
      <c r="DN14" s="16"/>
      <c r="DO14" s="4" t="s">
        <v>16</v>
      </c>
      <c r="DP14" s="2">
        <f t="shared" si="1"/>
        <v>1</v>
      </c>
      <c r="DV14" s="4" t="s">
        <v>83</v>
      </c>
      <c r="DW14" s="4">
        <f>SUM(DP26:DP29)</f>
        <v>10</v>
      </c>
      <c r="DX14" s="4" t="s">
        <v>83</v>
      </c>
      <c r="DY14" s="4">
        <f t="shared" si="2"/>
        <v>10</v>
      </c>
      <c r="EA14" s="4" t="str">
        <f>DO16</f>
        <v>Recursos</v>
      </c>
      <c r="EB14" s="4">
        <f>DP16</f>
        <v>1</v>
      </c>
    </row>
    <row r="15" spans="1:132" ht="49" thickBot="1" x14ac:dyDescent="0.25">
      <c r="C15" s="41"/>
      <c r="D15" s="50"/>
      <c r="E15" s="21" t="s">
        <v>46</v>
      </c>
      <c r="F15" s="15" t="s">
        <v>0</v>
      </c>
      <c r="G15" s="2" t="s">
        <v>107</v>
      </c>
      <c r="H15" s="18"/>
      <c r="I15" s="11" t="str">
        <f t="shared" si="0"/>
        <v>1</v>
      </c>
      <c r="DN15" s="16" t="str">
        <f>_xlfn.IFS(F14=$A$3,"3",F14=$A$4,"1,75",F14=$A$5,"0,75",F14=$A$6,"0")</f>
        <v>3</v>
      </c>
      <c r="DO15" s="4" t="s">
        <v>3</v>
      </c>
      <c r="DP15" s="2">
        <f t="shared" si="1"/>
        <v>3</v>
      </c>
      <c r="DV15" s="4" t="s">
        <v>96</v>
      </c>
      <c r="DW15" s="4">
        <f>SUM(DP30:DP35)</f>
        <v>10</v>
      </c>
      <c r="DX15" s="4" t="s">
        <v>96</v>
      </c>
      <c r="DY15" s="4">
        <f t="shared" si="2"/>
        <v>10</v>
      </c>
      <c r="EA15" s="4" t="str">
        <f>DO17</f>
        <v>Comunicación</v>
      </c>
      <c r="EB15" s="4">
        <f>DP17</f>
        <v>1</v>
      </c>
    </row>
    <row r="16" spans="1:132" ht="33" thickBot="1" x14ac:dyDescent="0.25">
      <c r="C16" s="42"/>
      <c r="D16" s="51"/>
      <c r="E16" s="22" t="s">
        <v>47</v>
      </c>
      <c r="F16" s="15" t="s">
        <v>0</v>
      </c>
      <c r="G16" s="2" t="s">
        <v>108</v>
      </c>
      <c r="H16" s="18"/>
      <c r="I16" s="11" t="str">
        <f t="shared" si="0"/>
        <v>1</v>
      </c>
      <c r="DN16" s="11"/>
      <c r="DO16" s="4" t="s">
        <v>4</v>
      </c>
      <c r="DP16" s="2">
        <f>I15*1</f>
        <v>1</v>
      </c>
      <c r="DV16" s="4" t="s">
        <v>85</v>
      </c>
      <c r="DW16" s="4">
        <f>SUM(DP36:DP39)</f>
        <v>10</v>
      </c>
      <c r="DX16" s="4" t="s">
        <v>85</v>
      </c>
      <c r="DY16" s="4">
        <f t="shared" si="2"/>
        <v>10</v>
      </c>
    </row>
    <row r="17" spans="3:132" ht="43.25" customHeight="1" thickBot="1" x14ac:dyDescent="0.25">
      <c r="C17" s="43" t="s">
        <v>87</v>
      </c>
      <c r="D17" s="44"/>
      <c r="E17" s="14" t="s">
        <v>78</v>
      </c>
      <c r="F17" s="15" t="s">
        <v>0</v>
      </c>
      <c r="G17" s="18" t="s">
        <v>116</v>
      </c>
      <c r="H17" s="18"/>
      <c r="I17" s="16" t="str">
        <f>_xlfn.IFS(F17=$A$3,"3",F17=$A$4,"1,75",F17=$A$5,"0,75",F17=$A$6,"0")</f>
        <v>3</v>
      </c>
      <c r="DN17" s="11"/>
      <c r="DO17" s="4" t="s">
        <v>17</v>
      </c>
      <c r="DP17" s="2">
        <f>I16*1</f>
        <v>1</v>
      </c>
      <c r="DV17" s="4" t="s">
        <v>84</v>
      </c>
      <c r="DW17" s="4">
        <f>SUM(DP40:DP43)</f>
        <v>10</v>
      </c>
      <c r="DX17" s="4" t="s">
        <v>84</v>
      </c>
      <c r="DY17" s="4">
        <f t="shared" si="2"/>
        <v>10</v>
      </c>
    </row>
    <row r="18" spans="3:132" ht="34.75" customHeight="1" thickBot="1" x14ac:dyDescent="0.25">
      <c r="C18" s="45"/>
      <c r="D18" s="46"/>
      <c r="E18" s="17" t="s">
        <v>48</v>
      </c>
      <c r="F18" s="15" t="s">
        <v>0</v>
      </c>
      <c r="G18" s="18" t="s">
        <v>109</v>
      </c>
      <c r="H18" s="18"/>
      <c r="I18" s="11" t="str">
        <f t="shared" si="0"/>
        <v>1</v>
      </c>
      <c r="DN18" s="11"/>
      <c r="DO18" s="11" t="s">
        <v>5</v>
      </c>
      <c r="DP18" s="2">
        <f>I17*1</f>
        <v>3</v>
      </c>
      <c r="DR18" s="4" t="str">
        <f>DN26</f>
        <v>3</v>
      </c>
      <c r="DS18" s="11" t="s">
        <v>5</v>
      </c>
      <c r="DT18" s="4">
        <f>DP18</f>
        <v>3</v>
      </c>
      <c r="DV18" s="4" t="s">
        <v>86</v>
      </c>
      <c r="DW18" s="4">
        <f>SUM(DP44:DP49)</f>
        <v>10</v>
      </c>
      <c r="DX18" s="4" t="s">
        <v>86</v>
      </c>
      <c r="DY18" s="4">
        <f t="shared" si="2"/>
        <v>10</v>
      </c>
      <c r="EA18" s="4" t="str">
        <f t="shared" ref="EA18:EB24" si="3">DO19</f>
        <v>Programación anual</v>
      </c>
      <c r="EB18" s="4">
        <f t="shared" si="3"/>
        <v>1</v>
      </c>
    </row>
    <row r="19" spans="3:132" ht="36.5" customHeight="1" thickBot="1" x14ac:dyDescent="0.25">
      <c r="C19" s="45"/>
      <c r="D19" s="46"/>
      <c r="E19" s="21" t="s">
        <v>49</v>
      </c>
      <c r="F19" s="15" t="s">
        <v>0</v>
      </c>
      <c r="G19" s="18" t="s">
        <v>110</v>
      </c>
      <c r="H19" s="18"/>
      <c r="I19" s="11" t="str">
        <f t="shared" si="0"/>
        <v>1</v>
      </c>
      <c r="DN19" s="11"/>
      <c r="DO19" s="11" t="s">
        <v>6</v>
      </c>
      <c r="DP19" s="2">
        <f>I18*1</f>
        <v>1</v>
      </c>
      <c r="DR19" s="4" t="str">
        <f>DN28</f>
        <v>3</v>
      </c>
      <c r="EA19" s="4" t="str">
        <f t="shared" si="3"/>
        <v xml:space="preserve">Evaluación periódica </v>
      </c>
      <c r="EB19" s="4">
        <f t="shared" si="3"/>
        <v>1</v>
      </c>
    </row>
    <row r="20" spans="3:132" ht="42" customHeight="1" thickBot="1" x14ac:dyDescent="0.25">
      <c r="C20" s="45"/>
      <c r="D20" s="46"/>
      <c r="E20" s="23" t="s">
        <v>50</v>
      </c>
      <c r="F20" s="15" t="s">
        <v>0</v>
      </c>
      <c r="G20" s="18" t="s">
        <v>111</v>
      </c>
      <c r="H20" s="18"/>
      <c r="I20" s="11" t="str">
        <f t="shared" si="0"/>
        <v>1</v>
      </c>
      <c r="DN20" s="11"/>
      <c r="DO20" s="11" t="s">
        <v>18</v>
      </c>
      <c r="DP20" s="2">
        <f t="shared" si="1"/>
        <v>1</v>
      </c>
      <c r="DR20" s="4" t="str">
        <f>DN29</f>
        <v>3</v>
      </c>
      <c r="EA20" s="4" t="str">
        <f t="shared" si="3"/>
        <v xml:space="preserve">Plan de mejora </v>
      </c>
      <c r="EB20" s="4">
        <f t="shared" si="3"/>
        <v>1</v>
      </c>
    </row>
    <row r="21" spans="3:132" ht="19.75" customHeight="1" thickBot="1" x14ac:dyDescent="0.25">
      <c r="C21" s="45"/>
      <c r="D21" s="46"/>
      <c r="E21" s="21" t="s">
        <v>51</v>
      </c>
      <c r="F21" s="15" t="s">
        <v>0</v>
      </c>
      <c r="G21" s="18" t="s">
        <v>112</v>
      </c>
      <c r="H21" s="18"/>
      <c r="I21" s="11" t="str">
        <f t="shared" si="0"/>
        <v>1</v>
      </c>
      <c r="DN21" s="11"/>
      <c r="DO21" s="11" t="s">
        <v>19</v>
      </c>
      <c r="DP21" s="2">
        <f t="shared" si="1"/>
        <v>1</v>
      </c>
      <c r="DR21" s="4" t="str">
        <f>DN35</f>
        <v>3</v>
      </c>
      <c r="EA21" s="4" t="str">
        <f t="shared" si="3"/>
        <v>Presupuesto</v>
      </c>
      <c r="EB21" s="4">
        <f t="shared" si="3"/>
        <v>1</v>
      </c>
    </row>
    <row r="22" spans="3:132" ht="36" customHeight="1" thickBot="1" x14ac:dyDescent="0.25">
      <c r="C22" s="45"/>
      <c r="D22" s="46"/>
      <c r="E22" s="21" t="s">
        <v>52</v>
      </c>
      <c r="F22" s="15" t="s">
        <v>0</v>
      </c>
      <c r="G22" s="18" t="s">
        <v>113</v>
      </c>
      <c r="H22" s="18"/>
      <c r="I22" s="11" t="str">
        <f t="shared" si="0"/>
        <v>1</v>
      </c>
      <c r="DN22" s="11"/>
      <c r="DO22" s="11" t="s">
        <v>7</v>
      </c>
      <c r="DP22" s="2">
        <f t="shared" si="1"/>
        <v>1</v>
      </c>
      <c r="EA22" s="4" t="str">
        <f t="shared" si="3"/>
        <v xml:space="preserve">Principios </v>
      </c>
      <c r="EB22" s="4">
        <f t="shared" si="3"/>
        <v>1</v>
      </c>
    </row>
    <row r="23" spans="3:132" ht="33" thickBot="1" x14ac:dyDescent="0.25">
      <c r="C23" s="45"/>
      <c r="D23" s="46"/>
      <c r="E23" s="21" t="s">
        <v>53</v>
      </c>
      <c r="F23" s="15" t="s">
        <v>0</v>
      </c>
      <c r="G23" s="18" t="s">
        <v>114</v>
      </c>
      <c r="H23" s="18"/>
      <c r="I23" s="11" t="str">
        <f t="shared" si="0"/>
        <v>1</v>
      </c>
      <c r="DN23" s="11"/>
      <c r="DO23" s="11" t="s">
        <v>20</v>
      </c>
      <c r="DP23" s="2">
        <f t="shared" si="1"/>
        <v>1</v>
      </c>
      <c r="EA23" s="4" t="str">
        <f t="shared" si="3"/>
        <v xml:space="preserve">Proceso de selección </v>
      </c>
      <c r="EB23" s="4">
        <f t="shared" si="3"/>
        <v>1</v>
      </c>
    </row>
    <row r="24" spans="3:132" ht="61.75" customHeight="1" thickBot="1" x14ac:dyDescent="0.25">
      <c r="C24" s="47"/>
      <c r="D24" s="48"/>
      <c r="E24" s="22" t="s">
        <v>54</v>
      </c>
      <c r="F24" s="15" t="s">
        <v>0</v>
      </c>
      <c r="G24" s="18" t="s">
        <v>115</v>
      </c>
      <c r="H24" s="18"/>
      <c r="I24" s="11" t="str">
        <f t="shared" si="0"/>
        <v>1</v>
      </c>
      <c r="DN24" s="11"/>
      <c r="DO24" s="11" t="s">
        <v>21</v>
      </c>
      <c r="DP24" s="2">
        <f t="shared" si="1"/>
        <v>1</v>
      </c>
      <c r="EA24" s="4" t="str">
        <f t="shared" si="3"/>
        <v>Estructura pastoral</v>
      </c>
      <c r="EB24" s="4">
        <f t="shared" si="3"/>
        <v>1</v>
      </c>
    </row>
    <row r="25" spans="3:132" ht="45" customHeight="1" thickBot="1" x14ac:dyDescent="0.25">
      <c r="C25" s="40" t="s">
        <v>90</v>
      </c>
      <c r="D25" s="32" t="s">
        <v>88</v>
      </c>
      <c r="E25" s="24" t="s">
        <v>55</v>
      </c>
      <c r="F25" s="15" t="s">
        <v>0</v>
      </c>
      <c r="G25" s="58" t="s">
        <v>117</v>
      </c>
      <c r="H25" s="18"/>
      <c r="I25" s="16" t="str">
        <f>_xlfn.IFS(F25=$A$3,"3",F25=$A$4,"1,75",F25=$A$5,"0,75",F25=$A$6,"0")</f>
        <v>3</v>
      </c>
      <c r="DN25" s="11"/>
      <c r="DO25" s="11" t="s">
        <v>22</v>
      </c>
      <c r="DP25" s="2">
        <f t="shared" si="1"/>
        <v>1</v>
      </c>
      <c r="DS25" s="4" t="str">
        <f>DO26</f>
        <v>Itinerario Pastoral con Jóvenes</v>
      </c>
      <c r="DT25" s="4">
        <f>I25*1</f>
        <v>3</v>
      </c>
    </row>
    <row r="26" spans="3:132" ht="49.75" customHeight="1" thickBot="1" x14ac:dyDescent="0.25">
      <c r="C26" s="41"/>
      <c r="D26" s="34"/>
      <c r="E26" s="21" t="s">
        <v>56</v>
      </c>
      <c r="F26" s="15" t="s">
        <v>0</v>
      </c>
      <c r="G26" s="58" t="s">
        <v>118</v>
      </c>
      <c r="H26" s="18"/>
      <c r="I26" s="11" t="str">
        <f t="shared" si="0"/>
        <v>1</v>
      </c>
      <c r="DN26" s="11" t="str">
        <f>_xlfn.IFS(F25=$A$3,"3",F25=$A$4,"1,75",F25=$A$5,"0,75",F25=$A$6,"0")</f>
        <v>3</v>
      </c>
      <c r="DO26" s="11" t="s">
        <v>23</v>
      </c>
      <c r="DP26" s="2">
        <f t="shared" si="1"/>
        <v>3</v>
      </c>
      <c r="DS26" s="4" t="str">
        <f>DO28</f>
        <v xml:space="preserve">Comunidad Cristiana </v>
      </c>
      <c r="DT26" s="4">
        <f>I27*1</f>
        <v>3</v>
      </c>
      <c r="EA26" s="4" t="str">
        <f>DO27</f>
        <v>Discernimiento vocacional</v>
      </c>
      <c r="EB26" s="4">
        <f>DP27</f>
        <v>1</v>
      </c>
    </row>
    <row r="27" spans="3:132" ht="33" thickBot="1" x14ac:dyDescent="0.25">
      <c r="C27" s="41"/>
      <c r="D27" s="34"/>
      <c r="E27" s="21" t="s">
        <v>57</v>
      </c>
      <c r="F27" s="15" t="s">
        <v>0</v>
      </c>
      <c r="G27" s="58" t="s">
        <v>119</v>
      </c>
      <c r="H27" s="18"/>
      <c r="I27" s="16" t="str">
        <f>_xlfn.IFS(F27=$A$3,"3",F27=$A$4,"1,75",F27=$A$5,"0,75",F27=$A$6,"0")</f>
        <v>3</v>
      </c>
      <c r="DN27" s="11"/>
      <c r="DO27" s="11" t="s">
        <v>24</v>
      </c>
      <c r="DP27" s="2">
        <f t="shared" si="1"/>
        <v>1</v>
      </c>
      <c r="DR27" s="4" t="str">
        <f>DN36</f>
        <v>3</v>
      </c>
      <c r="DS27" s="4" t="str">
        <f>DO27</f>
        <v>Discernimiento vocacional</v>
      </c>
      <c r="DT27" s="4">
        <f>I28*1</f>
        <v>3</v>
      </c>
    </row>
    <row r="28" spans="3:132" ht="33" thickBot="1" x14ac:dyDescent="0.25">
      <c r="C28" s="41"/>
      <c r="D28" s="34"/>
      <c r="E28" s="21" t="s">
        <v>58</v>
      </c>
      <c r="F28" s="15" t="s">
        <v>0</v>
      </c>
      <c r="G28" s="58" t="s">
        <v>120</v>
      </c>
      <c r="H28" s="18"/>
      <c r="I28" s="16" t="str">
        <f>_xlfn.IFS(F28=$A$3,"3",F28=$A$4,"1,75",F28=$A$5,"0,75",F28=$A$6,"0")</f>
        <v>3</v>
      </c>
      <c r="DN28" s="11" t="str">
        <f>_xlfn.IFS(F27=$A$3,"3",F27=$A$4,"1,75",F27=$A$5,"0,75",F27=$A$6,"0")</f>
        <v>3</v>
      </c>
      <c r="DO28" s="11" t="s">
        <v>25</v>
      </c>
      <c r="DP28" s="2">
        <f>I27*1</f>
        <v>3</v>
      </c>
      <c r="DR28" s="4" t="str">
        <f>DN38</f>
        <v>3</v>
      </c>
    </row>
    <row r="29" spans="3:132" ht="28.75" customHeight="1" thickBot="1" x14ac:dyDescent="0.25">
      <c r="C29" s="41"/>
      <c r="D29" s="34" t="s">
        <v>89</v>
      </c>
      <c r="E29" s="21" t="s">
        <v>59</v>
      </c>
      <c r="F29" s="15" t="s">
        <v>0</v>
      </c>
      <c r="G29" s="58" t="s">
        <v>121</v>
      </c>
      <c r="H29" s="18"/>
      <c r="I29" s="16" t="str">
        <f>_xlfn.IFS(F29=$A$3,"3",F29=$A$4,"1,75",F29=$A$5,"0,75",F29=$A$6,"0")</f>
        <v>3</v>
      </c>
      <c r="DN29" s="11" t="str">
        <f>_xlfn.IFS(F28=$A$3,"3",F28=$A$4,"1,75",F28=$A$5,"0,75",F28=$A$6,"0")</f>
        <v>3</v>
      </c>
      <c r="DO29" s="11" t="s">
        <v>26</v>
      </c>
      <c r="DP29" s="2">
        <f t="shared" si="1"/>
        <v>3</v>
      </c>
      <c r="DR29" s="4" t="str">
        <f>DN39</f>
        <v>3</v>
      </c>
      <c r="DS29" s="4" t="str">
        <f>DO30</f>
        <v>Oferta grupos de fe</v>
      </c>
      <c r="DT29" s="4">
        <f>I29*1</f>
        <v>3</v>
      </c>
      <c r="EA29" s="4" t="str">
        <f t="shared" ref="EA29:EB32" si="4">DO31</f>
        <v>Voluntariado/servicio</v>
      </c>
      <c r="EB29" s="4">
        <f t="shared" si="4"/>
        <v>1</v>
      </c>
    </row>
    <row r="30" spans="3:132" ht="33" thickBot="1" x14ac:dyDescent="0.25">
      <c r="C30" s="41"/>
      <c r="D30" s="34"/>
      <c r="E30" s="21" t="s">
        <v>60</v>
      </c>
      <c r="F30" s="15" t="s">
        <v>0</v>
      </c>
      <c r="G30" s="58" t="s">
        <v>122</v>
      </c>
      <c r="H30" s="18"/>
      <c r="I30" s="11" t="str">
        <f t="shared" si="0"/>
        <v>1</v>
      </c>
      <c r="DN30" s="11"/>
      <c r="DO30" s="11" t="s">
        <v>27</v>
      </c>
      <c r="DP30" s="2">
        <f t="shared" si="1"/>
        <v>3</v>
      </c>
      <c r="DR30" s="4" t="str">
        <f>DN40</f>
        <v>3</v>
      </c>
      <c r="DS30" s="4" t="str">
        <f>DO35</f>
        <v xml:space="preserve">Fomación de líderes </v>
      </c>
      <c r="DT30" s="4">
        <f>I34*1</f>
        <v>3</v>
      </c>
      <c r="EA30" s="4" t="str">
        <f t="shared" si="4"/>
        <v xml:space="preserve">Tiempo libre </v>
      </c>
      <c r="EB30" s="4">
        <f t="shared" si="4"/>
        <v>1</v>
      </c>
    </row>
    <row r="31" spans="3:132" ht="33" thickBot="1" x14ac:dyDescent="0.25">
      <c r="C31" s="41"/>
      <c r="D31" s="34"/>
      <c r="E31" s="21" t="s">
        <v>61</v>
      </c>
      <c r="F31" s="15" t="s">
        <v>0</v>
      </c>
      <c r="G31" s="58" t="s">
        <v>123</v>
      </c>
      <c r="H31" s="18"/>
      <c r="I31" s="11" t="str">
        <f t="shared" si="0"/>
        <v>1</v>
      </c>
      <c r="DN31" s="11"/>
      <c r="DO31" s="11" t="s">
        <v>28</v>
      </c>
      <c r="DP31" s="2">
        <f t="shared" si="1"/>
        <v>1</v>
      </c>
      <c r="DR31" s="4" t="str">
        <f>DN42</f>
        <v>3</v>
      </c>
      <c r="EA31" s="4" t="str">
        <f t="shared" si="4"/>
        <v xml:space="preserve">Celebraciones litúrgicas </v>
      </c>
      <c r="EB31" s="4">
        <f t="shared" si="4"/>
        <v>1</v>
      </c>
    </row>
    <row r="32" spans="3:132" ht="33" thickBot="1" x14ac:dyDescent="0.25">
      <c r="C32" s="41"/>
      <c r="D32" s="34"/>
      <c r="E32" s="21" t="s">
        <v>62</v>
      </c>
      <c r="F32" s="15" t="s">
        <v>0</v>
      </c>
      <c r="G32" s="58" t="s">
        <v>124</v>
      </c>
      <c r="H32" s="18"/>
      <c r="I32" s="11" t="str">
        <f t="shared" si="0"/>
        <v>1</v>
      </c>
      <c r="DN32" s="11"/>
      <c r="DO32" s="11" t="s">
        <v>29</v>
      </c>
      <c r="DP32" s="2">
        <f t="shared" si="1"/>
        <v>1</v>
      </c>
      <c r="DR32" s="4" t="str">
        <f>DN43</f>
        <v>3</v>
      </c>
      <c r="EA32" s="4" t="str">
        <f t="shared" si="4"/>
        <v>Oración</v>
      </c>
      <c r="EB32" s="4">
        <f t="shared" si="4"/>
        <v>1</v>
      </c>
    </row>
    <row r="33" spans="3:132" ht="27.5" customHeight="1" thickBot="1" x14ac:dyDescent="0.25">
      <c r="C33" s="41"/>
      <c r="D33" s="34"/>
      <c r="E33" s="21" t="s">
        <v>63</v>
      </c>
      <c r="F33" s="15" t="s">
        <v>0</v>
      </c>
      <c r="G33" s="58" t="s">
        <v>125</v>
      </c>
      <c r="H33" s="18"/>
      <c r="I33" s="11" t="str">
        <f t="shared" si="0"/>
        <v>1</v>
      </c>
      <c r="DN33" s="11"/>
      <c r="DO33" s="11" t="s">
        <v>30</v>
      </c>
      <c r="DP33" s="2">
        <f t="shared" si="1"/>
        <v>1</v>
      </c>
    </row>
    <row r="34" spans="3:132" ht="45.5" customHeight="1" thickBot="1" x14ac:dyDescent="0.25">
      <c r="C34" s="42"/>
      <c r="D34" s="36"/>
      <c r="E34" s="22" t="s">
        <v>64</v>
      </c>
      <c r="F34" s="15" t="s">
        <v>0</v>
      </c>
      <c r="G34" s="58" t="s">
        <v>126</v>
      </c>
      <c r="H34" s="18"/>
      <c r="I34" s="16" t="str">
        <f>_xlfn.IFS(F34=$A$3,"3",F34=$A$4,"1,75",F34=$A$5,"0,75",F34=$A$6,"0")</f>
        <v>3</v>
      </c>
      <c r="DN34" s="11"/>
      <c r="DO34" s="11" t="s">
        <v>31</v>
      </c>
      <c r="DP34" s="2">
        <f t="shared" si="1"/>
        <v>1</v>
      </c>
    </row>
    <row r="35" spans="3:132" ht="39.5" customHeight="1" thickBot="1" x14ac:dyDescent="0.25">
      <c r="C35" s="55" t="s">
        <v>93</v>
      </c>
      <c r="D35" s="52" t="s">
        <v>91</v>
      </c>
      <c r="E35" s="25" t="s">
        <v>65</v>
      </c>
      <c r="F35" s="15" t="s">
        <v>0</v>
      </c>
      <c r="G35" s="58" t="s">
        <v>127</v>
      </c>
      <c r="H35" s="18"/>
      <c r="I35" s="16" t="str">
        <f>_xlfn.IFS(F35=$A$3,"3",F35=$A$4,"1,75",F35=$A$5,"0,75",F35=$A$6,"0")</f>
        <v>3</v>
      </c>
      <c r="DN35" s="11" t="str">
        <f>_xlfn.IFS(F34=$A$3,"3",F34=$A$4,"1,75",F34=$A$5,"0,75",F34=$A$6,"0")</f>
        <v>3</v>
      </c>
      <c r="DO35" s="11" t="s">
        <v>8</v>
      </c>
      <c r="DP35" s="2">
        <f t="shared" si="1"/>
        <v>3</v>
      </c>
      <c r="DS35" s="4" t="str">
        <f>DO36</f>
        <v>Acompañamiento personal</v>
      </c>
      <c r="DT35" s="4">
        <f>I35*1</f>
        <v>3</v>
      </c>
      <c r="EA35" s="4" t="str">
        <f>DO37</f>
        <v>Formación en acompañamiento</v>
      </c>
      <c r="EB35" s="4">
        <f>DP37</f>
        <v>1</v>
      </c>
    </row>
    <row r="36" spans="3:132" ht="36" customHeight="1" thickBot="1" x14ac:dyDescent="0.25">
      <c r="C36" s="56"/>
      <c r="D36" s="53"/>
      <c r="E36" s="21" t="s">
        <v>66</v>
      </c>
      <c r="F36" s="15" t="s">
        <v>0</v>
      </c>
      <c r="G36" s="58" t="s">
        <v>128</v>
      </c>
      <c r="H36" s="18"/>
      <c r="I36" s="11" t="str">
        <f t="shared" si="0"/>
        <v>1</v>
      </c>
      <c r="DN36" s="11" t="str">
        <f>_xlfn.IFS(F35=$A$3,"3",F35=$A$4,"1,75",F35=$A$5,"0,75",F35=$A$6,"0")</f>
        <v>3</v>
      </c>
      <c r="DO36" s="11" t="s">
        <v>9</v>
      </c>
      <c r="DP36" s="2">
        <f t="shared" si="1"/>
        <v>3</v>
      </c>
      <c r="DR36" s="4" t="str">
        <f>DN44</f>
        <v>3</v>
      </c>
      <c r="DS36" s="4" t="str">
        <f>DO38</f>
        <v xml:space="preserve">Encuentros con comunidades cristianas </v>
      </c>
      <c r="DT36" s="4">
        <f>I37*1</f>
        <v>3</v>
      </c>
    </row>
    <row r="37" spans="3:132" ht="54.5" customHeight="1" thickBot="1" x14ac:dyDescent="0.25">
      <c r="C37" s="56"/>
      <c r="D37" s="53"/>
      <c r="E37" s="21" t="s">
        <v>102</v>
      </c>
      <c r="F37" s="15" t="s">
        <v>0</v>
      </c>
      <c r="G37" s="58" t="s">
        <v>129</v>
      </c>
      <c r="H37" s="18"/>
      <c r="I37" s="16" t="str">
        <f>_xlfn.IFS(F37=$A$3,"3",F37=$A$4,"1,75",F37=$A$5,"0,75",F37=$A$6,"0")</f>
        <v>3</v>
      </c>
      <c r="DN37" s="11"/>
      <c r="DO37" s="11" t="s">
        <v>32</v>
      </c>
      <c r="DP37" s="2">
        <f t="shared" si="1"/>
        <v>1</v>
      </c>
      <c r="DR37" s="4" t="str">
        <f>DN46</f>
        <v>3</v>
      </c>
      <c r="DS37" s="4" t="str">
        <f>DO39</f>
        <v xml:space="preserve">Proceso de pastoral coherente </v>
      </c>
      <c r="DT37" s="4">
        <f>I38*1</f>
        <v>3</v>
      </c>
    </row>
    <row r="38" spans="3:132" ht="37.25" customHeight="1" thickBot="1" x14ac:dyDescent="0.25">
      <c r="C38" s="56"/>
      <c r="D38" s="53"/>
      <c r="E38" s="21" t="s">
        <v>67</v>
      </c>
      <c r="F38" s="15" t="s">
        <v>0</v>
      </c>
      <c r="G38" s="58" t="s">
        <v>130</v>
      </c>
      <c r="H38" s="18"/>
      <c r="I38" s="16" t="str">
        <f>_xlfn.IFS(F38=$A$3,"3",F38=$A$4,"1,75",F38=$A$5,"0,75",F38=$A$6,"0")</f>
        <v>3</v>
      </c>
      <c r="DN38" s="11" t="str">
        <f>_xlfn.IFS(F37=$A$3,"3",F37=$A$4,"1,75",F37=$A$5,"0,75",F37=$A$6,"0")</f>
        <v>3</v>
      </c>
      <c r="DO38" s="11" t="s">
        <v>33</v>
      </c>
      <c r="DP38" s="2">
        <f t="shared" si="1"/>
        <v>3</v>
      </c>
    </row>
    <row r="39" spans="3:132" ht="40.75" customHeight="1" thickBot="1" x14ac:dyDescent="0.25">
      <c r="C39" s="56"/>
      <c r="D39" s="53" t="s">
        <v>92</v>
      </c>
      <c r="E39" s="21" t="s">
        <v>68</v>
      </c>
      <c r="F39" s="15" t="s">
        <v>0</v>
      </c>
      <c r="G39" s="58" t="s">
        <v>131</v>
      </c>
      <c r="H39" s="18"/>
      <c r="I39" s="16" t="str">
        <f>_xlfn.IFS(F39=$A$3,"3",F39=$A$4,"1,75",F39=$A$5,"0,75",F39=$A$6,"0")</f>
        <v>3</v>
      </c>
      <c r="DN39" s="11" t="str">
        <f>_xlfn.IFS(F38=$A$3,"3",F38=$A$4,"1,75",F38=$A$5,"0,75",F38=$A$6,"0")</f>
        <v>3</v>
      </c>
      <c r="DO39" s="11" t="s">
        <v>34</v>
      </c>
      <c r="DP39" s="2">
        <f t="shared" si="1"/>
        <v>3</v>
      </c>
      <c r="DS39" s="4" t="str">
        <f>DO40</f>
        <v>Pedagogía experiencial</v>
      </c>
      <c r="DT39" s="4">
        <f>I39*1</f>
        <v>3</v>
      </c>
      <c r="EA39" s="4" t="str">
        <f>DO41</f>
        <v xml:space="preserve">Jóvenes líderes </v>
      </c>
      <c r="EB39" s="4">
        <f>DP41</f>
        <v>1</v>
      </c>
    </row>
    <row r="40" spans="3:132" ht="35.5" customHeight="1" thickBot="1" x14ac:dyDescent="0.25">
      <c r="C40" s="56"/>
      <c r="D40" s="53"/>
      <c r="E40" s="21" t="s">
        <v>69</v>
      </c>
      <c r="F40" s="15" t="s">
        <v>0</v>
      </c>
      <c r="G40" s="58" t="s">
        <v>132</v>
      </c>
      <c r="H40" s="18"/>
      <c r="I40" s="11" t="str">
        <f t="shared" si="0"/>
        <v>1</v>
      </c>
      <c r="DN40" s="11" t="str">
        <f>_xlfn.IFS(F39=$A$3,"3",F39=$A$4,"1,75",F39=$A$5,"0,75",F39=$A$6,"0")</f>
        <v>3</v>
      </c>
      <c r="DO40" s="11" t="s">
        <v>95</v>
      </c>
      <c r="DP40" s="2">
        <f t="shared" si="1"/>
        <v>3</v>
      </c>
      <c r="DS40" s="4" t="str">
        <f>DO42</f>
        <v xml:space="preserve">Experiencias fuertes </v>
      </c>
      <c r="DT40" s="4">
        <f>I41*1</f>
        <v>3</v>
      </c>
    </row>
    <row r="41" spans="3:132" ht="60.5" customHeight="1" thickBot="1" x14ac:dyDescent="0.25">
      <c r="C41" s="56"/>
      <c r="D41" s="53"/>
      <c r="E41" s="21" t="s">
        <v>70</v>
      </c>
      <c r="F41" s="15" t="s">
        <v>0</v>
      </c>
      <c r="G41" s="58" t="s">
        <v>133</v>
      </c>
      <c r="H41" s="18"/>
      <c r="I41" s="16" t="str">
        <f>_xlfn.IFS(F41=$A$3,"3",F41=$A$4,"1,75",F41=$A$5,"0,75",F41=$A$6,"0")</f>
        <v>3</v>
      </c>
      <c r="DN41" s="11"/>
      <c r="DO41" s="11" t="s">
        <v>35</v>
      </c>
      <c r="DP41" s="2">
        <f t="shared" si="1"/>
        <v>1</v>
      </c>
      <c r="DS41" s="4" t="str">
        <f>DO43</f>
        <v>Momentos de discernimiento</v>
      </c>
      <c r="DT41" s="4">
        <f>I42*1</f>
        <v>3</v>
      </c>
    </row>
    <row r="42" spans="3:132" ht="31.25" customHeight="1" thickBot="1" x14ac:dyDescent="0.25">
      <c r="C42" s="57"/>
      <c r="D42" s="54"/>
      <c r="E42" s="22" t="s">
        <v>71</v>
      </c>
      <c r="F42" s="15" t="s">
        <v>0</v>
      </c>
      <c r="G42" s="58" t="s">
        <v>134</v>
      </c>
      <c r="H42" s="18"/>
      <c r="I42" s="16" t="str">
        <f>_xlfn.IFS(F42=$A$3,"3",F42=$A$4,"1,75",F42=$A$5,"0,75",F42=$A$6,"0")</f>
        <v>3</v>
      </c>
      <c r="DN42" s="11" t="str">
        <f>_xlfn.IFS(F41=$A$3,"3",F41=$A$4,"1,75",F41=$A$5,"0,75",F41=$A$6,"0")</f>
        <v>3</v>
      </c>
      <c r="DO42" s="11" t="s">
        <v>36</v>
      </c>
      <c r="DP42" s="2">
        <f t="shared" si="1"/>
        <v>3</v>
      </c>
    </row>
    <row r="43" spans="3:132" ht="28.75" customHeight="1" thickBot="1" x14ac:dyDescent="0.25">
      <c r="C43" s="31" t="s">
        <v>94</v>
      </c>
      <c r="D43" s="32"/>
      <c r="E43" s="25" t="s">
        <v>72</v>
      </c>
      <c r="F43" s="15" t="s">
        <v>0</v>
      </c>
      <c r="G43" s="58" t="s">
        <v>135</v>
      </c>
      <c r="H43" s="18"/>
      <c r="I43" s="16" t="str">
        <f>_xlfn.IFS(F43=$A$3,"3",F43=$A$4,"1,75",F43=$A$5,"0,75",F43=$A$6,"0")</f>
        <v>3</v>
      </c>
      <c r="DN43" s="11" t="str">
        <f>_xlfn.IFS(F42=$A$3,"3",F42=$A$4,"1,75",F42=$A$5,"0,75",F42=$A$6,"0")</f>
        <v>3</v>
      </c>
      <c r="DO43" s="11" t="s">
        <v>37</v>
      </c>
      <c r="DP43" s="2">
        <f t="shared" si="1"/>
        <v>3</v>
      </c>
      <c r="DS43" s="4" t="str">
        <f>DO44</f>
        <v xml:space="preserve">Estrategia de comunicación </v>
      </c>
      <c r="DT43" s="4">
        <f>I43*1</f>
        <v>3</v>
      </c>
      <c r="EA43" s="4" t="str">
        <f>DO45</f>
        <v xml:space="preserve">Redes sociales </v>
      </c>
      <c r="EB43" s="4">
        <f>DP45</f>
        <v>1</v>
      </c>
    </row>
    <row r="44" spans="3:132" ht="31.75" customHeight="1" thickBot="1" x14ac:dyDescent="0.25">
      <c r="C44" s="33"/>
      <c r="D44" s="34"/>
      <c r="E44" s="21" t="s">
        <v>73</v>
      </c>
      <c r="F44" s="15" t="s">
        <v>0</v>
      </c>
      <c r="G44" s="58" t="s">
        <v>136</v>
      </c>
      <c r="H44" s="18"/>
      <c r="I44" s="11" t="str">
        <f t="shared" si="0"/>
        <v>1</v>
      </c>
      <c r="DN44" s="11" t="str">
        <f>_xlfn.IFS(F43=$A$3,"3",F43=$A$4,"1,75",F43=$A$5,"0,75",F43=$A$6,"0")</f>
        <v>3</v>
      </c>
      <c r="DO44" s="11" t="s">
        <v>10</v>
      </c>
      <c r="DP44" s="2">
        <f t="shared" si="1"/>
        <v>3</v>
      </c>
      <c r="DS44" s="4" t="str">
        <f>DO46</f>
        <v xml:space="preserve">Encuentros interinstitucionales </v>
      </c>
      <c r="DT44" s="4">
        <f>I45*1</f>
        <v>3</v>
      </c>
      <c r="EA44" s="4" t="str">
        <f t="shared" ref="EA44:EB46" si="5">DO47</f>
        <v>Trabajo en red eclesial</v>
      </c>
      <c r="EB44" s="4">
        <f t="shared" si="5"/>
        <v>1</v>
      </c>
    </row>
    <row r="45" spans="3:132" ht="33" thickBot="1" x14ac:dyDescent="0.25">
      <c r="C45" s="33"/>
      <c r="D45" s="34"/>
      <c r="E45" s="21" t="s">
        <v>74</v>
      </c>
      <c r="F45" s="15" t="s">
        <v>0</v>
      </c>
      <c r="G45" s="58" t="s">
        <v>137</v>
      </c>
      <c r="H45" s="18"/>
      <c r="I45" s="16" t="str">
        <f>_xlfn.IFS(F45=$A$3,"3",F45=$A$4,"1,75",F45=$A$5,"0,75",F45=$A$6,"0")</f>
        <v>3</v>
      </c>
      <c r="DN45" s="11"/>
      <c r="DO45" s="11" t="s">
        <v>38</v>
      </c>
      <c r="DP45" s="2">
        <f t="shared" si="1"/>
        <v>1</v>
      </c>
      <c r="EA45" s="4" t="str">
        <f t="shared" si="5"/>
        <v xml:space="preserve">Integración a las familias </v>
      </c>
      <c r="EB45" s="4">
        <f t="shared" si="5"/>
        <v>1</v>
      </c>
    </row>
    <row r="46" spans="3:132" ht="33" thickBot="1" x14ac:dyDescent="0.25">
      <c r="C46" s="33"/>
      <c r="D46" s="34"/>
      <c r="E46" s="21" t="s">
        <v>75</v>
      </c>
      <c r="F46" s="15" t="s">
        <v>0</v>
      </c>
      <c r="G46" s="58" t="s">
        <v>138</v>
      </c>
      <c r="H46" s="18"/>
      <c r="I46" s="11" t="str">
        <f t="shared" si="0"/>
        <v>1</v>
      </c>
      <c r="DN46" s="11" t="str">
        <f>_xlfn.IFS(F45=$A$3,"3",F45=$A$4,"1,75",F45=$A$5,"0,75",F45=$A$6,"0")</f>
        <v>3</v>
      </c>
      <c r="DO46" s="11" t="s">
        <v>11</v>
      </c>
      <c r="DP46" s="2">
        <f t="shared" si="1"/>
        <v>3</v>
      </c>
      <c r="EA46" s="4" t="str">
        <f t="shared" si="5"/>
        <v>Análisis de la realidad local</v>
      </c>
      <c r="EB46" s="4">
        <f t="shared" si="5"/>
        <v>1</v>
      </c>
    </row>
    <row r="47" spans="3:132" ht="33" thickBot="1" x14ac:dyDescent="0.25">
      <c r="C47" s="33"/>
      <c r="D47" s="34"/>
      <c r="E47" s="21" t="s">
        <v>77</v>
      </c>
      <c r="F47" s="15" t="s">
        <v>0</v>
      </c>
      <c r="G47" s="58" t="s">
        <v>139</v>
      </c>
      <c r="H47" s="18"/>
      <c r="I47" s="11" t="str">
        <f t="shared" si="0"/>
        <v>1</v>
      </c>
      <c r="DN47" s="11"/>
      <c r="DO47" s="11" t="s">
        <v>39</v>
      </c>
      <c r="DP47" s="2">
        <f t="shared" si="1"/>
        <v>1</v>
      </c>
    </row>
    <row r="48" spans="3:132" ht="33" thickBot="1" x14ac:dyDescent="0.25">
      <c r="C48" s="35"/>
      <c r="D48" s="36"/>
      <c r="E48" s="22" t="s">
        <v>76</v>
      </c>
      <c r="F48" s="15" t="s">
        <v>0</v>
      </c>
      <c r="G48" s="58" t="s">
        <v>140</v>
      </c>
      <c r="H48" s="18"/>
      <c r="I48" s="11" t="str">
        <f t="shared" si="0"/>
        <v>1</v>
      </c>
      <c r="DN48" s="11"/>
      <c r="DO48" s="11" t="s">
        <v>12</v>
      </c>
      <c r="DP48" s="2">
        <f t="shared" si="1"/>
        <v>1</v>
      </c>
    </row>
    <row r="49" spans="4:120" x14ac:dyDescent="0.2">
      <c r="F49" s="26"/>
      <c r="G49" s="18"/>
      <c r="H49" s="18"/>
      <c r="I49" s="11"/>
      <c r="J49" s="11"/>
      <c r="K49" s="11"/>
      <c r="L49" s="2"/>
      <c r="M49" s="1"/>
      <c r="DN49" s="11"/>
      <c r="DO49" s="11" t="s">
        <v>40</v>
      </c>
      <c r="DP49" s="2">
        <f t="shared" si="1"/>
        <v>1</v>
      </c>
    </row>
    <row r="50" spans="4:120" x14ac:dyDescent="0.2">
      <c r="F50" s="26"/>
      <c r="G50" s="18"/>
      <c r="H50" s="18"/>
      <c r="I50" s="11"/>
      <c r="J50" s="11"/>
      <c r="K50" s="11"/>
      <c r="L50" s="2"/>
      <c r="M50" s="1"/>
    </row>
    <row r="51" spans="4:120" ht="19.25" customHeight="1" x14ac:dyDescent="0.2">
      <c r="D51" s="39" t="s">
        <v>101</v>
      </c>
      <c r="E51" s="39"/>
      <c r="F51" s="26"/>
      <c r="I51" s="11"/>
      <c r="J51" s="11"/>
      <c r="K51" s="11"/>
      <c r="L51" s="2"/>
      <c r="M51" s="1"/>
    </row>
    <row r="52" spans="4:120" ht="19.25" customHeight="1" x14ac:dyDescent="0.2">
      <c r="D52" s="39"/>
      <c r="E52" s="39"/>
      <c r="F52" s="26"/>
      <c r="I52" s="11"/>
      <c r="J52" s="11"/>
      <c r="K52" s="11"/>
      <c r="L52" s="2"/>
      <c r="M52" s="1"/>
    </row>
    <row r="53" spans="4:120" x14ac:dyDescent="0.2">
      <c r="E53" s="38"/>
      <c r="F53" s="26"/>
      <c r="I53" s="11"/>
      <c r="J53" s="11"/>
      <c r="K53" s="11"/>
      <c r="L53" s="2"/>
      <c r="M53" s="1"/>
    </row>
    <row r="54" spans="4:120" x14ac:dyDescent="0.2">
      <c r="E54" s="38"/>
      <c r="F54" s="26"/>
      <c r="I54" s="11"/>
      <c r="J54" s="11"/>
      <c r="K54" s="11"/>
      <c r="L54" s="2"/>
      <c r="M54" s="1"/>
    </row>
    <row r="55" spans="4:120" x14ac:dyDescent="0.2">
      <c r="F55" s="26"/>
      <c r="I55" s="11"/>
      <c r="J55" s="11"/>
      <c r="K55" s="11"/>
      <c r="L55" s="2"/>
      <c r="M55" s="1"/>
    </row>
    <row r="56" spans="4:120" x14ac:dyDescent="0.2">
      <c r="F56" s="26"/>
      <c r="I56" s="11"/>
      <c r="J56" s="11"/>
      <c r="K56" s="11"/>
      <c r="L56" s="2"/>
      <c r="M56" s="1"/>
    </row>
    <row r="57" spans="4:120" x14ac:dyDescent="0.2">
      <c r="F57" s="26"/>
      <c r="I57" s="11"/>
      <c r="J57" s="11"/>
      <c r="K57" s="11"/>
      <c r="L57" s="2"/>
      <c r="M57" s="1"/>
    </row>
    <row r="58" spans="4:120" x14ac:dyDescent="0.2">
      <c r="F58" s="26"/>
      <c r="I58" s="11"/>
      <c r="J58" s="11"/>
      <c r="K58" s="11"/>
      <c r="L58" s="2"/>
      <c r="M58" s="1"/>
    </row>
    <row r="59" spans="4:120" x14ac:dyDescent="0.2">
      <c r="F59" s="26"/>
      <c r="I59" s="11"/>
      <c r="J59" s="11"/>
      <c r="K59" s="11"/>
      <c r="L59" s="2"/>
      <c r="M59" s="1"/>
    </row>
    <row r="60" spans="4:120" x14ac:dyDescent="0.2">
      <c r="F60" s="26"/>
      <c r="I60" s="11"/>
      <c r="J60" s="11"/>
      <c r="K60" s="11"/>
      <c r="L60" s="2"/>
      <c r="M60" s="1"/>
    </row>
    <row r="61" spans="4:120" x14ac:dyDescent="0.2">
      <c r="F61" s="26"/>
      <c r="I61" s="11"/>
      <c r="J61" s="11"/>
      <c r="K61" s="11"/>
      <c r="L61" s="2"/>
      <c r="M61" s="1"/>
    </row>
    <row r="62" spans="4:120" x14ac:dyDescent="0.2">
      <c r="F62" s="26"/>
      <c r="I62" s="11"/>
      <c r="J62" s="11"/>
      <c r="K62" s="11"/>
      <c r="L62" s="2"/>
      <c r="M62" s="1"/>
    </row>
    <row r="63" spans="4:120" x14ac:dyDescent="0.2">
      <c r="F63" s="26"/>
      <c r="I63" s="11"/>
      <c r="J63" s="11"/>
      <c r="K63" s="11"/>
      <c r="L63" s="2"/>
      <c r="M63" s="1"/>
    </row>
    <row r="64" spans="4:120" x14ac:dyDescent="0.2">
      <c r="F64" s="26"/>
      <c r="I64" s="11"/>
      <c r="J64" s="11"/>
      <c r="K64" s="11"/>
      <c r="L64" s="2"/>
      <c r="M64" s="1"/>
    </row>
    <row r="65" spans="4:13" x14ac:dyDescent="0.2">
      <c r="F65" s="26"/>
      <c r="I65" s="11"/>
      <c r="J65" s="11"/>
      <c r="K65" s="11"/>
      <c r="L65" s="2"/>
      <c r="M65" s="1"/>
    </row>
    <row r="66" spans="4:13" x14ac:dyDescent="0.2">
      <c r="F66" s="26"/>
      <c r="I66" s="11"/>
      <c r="J66" s="11"/>
      <c r="K66" s="11"/>
      <c r="L66" s="2"/>
      <c r="M66" s="1"/>
    </row>
    <row r="67" spans="4:13" x14ac:dyDescent="0.2">
      <c r="F67" s="26"/>
      <c r="I67" s="11"/>
      <c r="J67" s="11"/>
      <c r="K67" s="11"/>
      <c r="L67" s="2"/>
      <c r="M67" s="1"/>
    </row>
    <row r="68" spans="4:13" x14ac:dyDescent="0.2">
      <c r="F68" s="26"/>
      <c r="I68" s="11"/>
      <c r="J68" s="11"/>
      <c r="K68" s="11"/>
      <c r="L68" s="2"/>
      <c r="M68" s="1"/>
    </row>
    <row r="69" spans="4:13" x14ac:dyDescent="0.2">
      <c r="F69" s="26"/>
      <c r="I69" s="11"/>
      <c r="J69" s="11"/>
      <c r="K69" s="11"/>
      <c r="L69" s="2"/>
      <c r="M69" s="1"/>
    </row>
    <row r="70" spans="4:13" x14ac:dyDescent="0.2">
      <c r="F70" s="26"/>
      <c r="I70" s="11"/>
      <c r="J70" s="11"/>
      <c r="K70" s="11"/>
      <c r="L70" s="2"/>
      <c r="M70" s="1"/>
    </row>
    <row r="71" spans="4:13" x14ac:dyDescent="0.2">
      <c r="F71" s="26"/>
      <c r="I71" s="11"/>
      <c r="J71" s="11"/>
      <c r="K71" s="11"/>
      <c r="L71" s="2"/>
      <c r="M71" s="1"/>
    </row>
    <row r="74" spans="4:13" ht="21" x14ac:dyDescent="0.2">
      <c r="D74" s="29" t="s">
        <v>100</v>
      </c>
      <c r="E74" s="29"/>
    </row>
    <row r="75" spans="4:13" ht="18.5" customHeight="1" x14ac:dyDescent="0.2">
      <c r="F75" s="27"/>
    </row>
    <row r="76" spans="4:13" ht="14.5" customHeight="1" x14ac:dyDescent="0.2">
      <c r="D76" s="28"/>
      <c r="E76" s="28"/>
    </row>
    <row r="77" spans="4:13" ht="14.5" customHeight="1" x14ac:dyDescent="0.2">
      <c r="D77" s="28"/>
      <c r="E77" s="28"/>
    </row>
    <row r="78" spans="4:13" ht="14.5" customHeight="1" x14ac:dyDescent="0.2">
      <c r="D78" s="28"/>
      <c r="E78" s="28"/>
    </row>
  </sheetData>
  <protectedRanges>
    <protectedRange sqref="F11:F48" name="Rango1"/>
  </protectedRanges>
  <mergeCells count="14">
    <mergeCell ref="D74:E74"/>
    <mergeCell ref="E7:F8"/>
    <mergeCell ref="C43:D48"/>
    <mergeCell ref="D3:F5"/>
    <mergeCell ref="E53:E54"/>
    <mergeCell ref="D51:E52"/>
    <mergeCell ref="C25:C34"/>
    <mergeCell ref="C17:D24"/>
    <mergeCell ref="C11:D16"/>
    <mergeCell ref="D35:D38"/>
    <mergeCell ref="D39:D42"/>
    <mergeCell ref="C35:C42"/>
    <mergeCell ref="D25:D28"/>
    <mergeCell ref="D29:D34"/>
  </mergeCells>
  <phoneticPr fontId="13" type="noConversion"/>
  <dataValidations count="1">
    <dataValidation type="list" allowBlank="1" showInputMessage="1" showErrorMessage="1" sqref="F11:F48" xr:uid="{3861FA4E-23A8-4FB1-B3EE-A982910C3A48}">
      <formula1>$A$3:$A$6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109fd8f7-4686-44c3-8a41-bfd55f557ff6">ZVJ4H67RFMTY-1382357254-62495</_dlc_DocId>
    <_dlc_DocIdUrl xmlns="109fd8f7-4686-44c3-8a41-bfd55f557ff6">
      <Url>https://provincia.sharepoint.com/sites/gdorep/04/_layouts/15/DocIdRedir.aspx?ID=ZVJ4H67RFMTY-1382357254-62495</Url>
      <Description>ZVJ4H67RFMTY-1382357254-62495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D52BEF60CF154D9D3E0387F3E0BC10" ma:contentTypeVersion="815" ma:contentTypeDescription="Crear nuevo documento." ma:contentTypeScope="" ma:versionID="37793dac024e8bc4719491ff86cc7429">
  <xsd:schema xmlns:xsd="http://www.w3.org/2001/XMLSchema" xmlns:xs="http://www.w3.org/2001/XMLSchema" xmlns:p="http://schemas.microsoft.com/office/2006/metadata/properties" xmlns:ns2="109fd8f7-4686-44c3-8a41-bfd55f557ff6" xmlns:ns3="5d69047f-e6bd-461d-96d0-3dd4aaf5f1db" targetNamespace="http://schemas.microsoft.com/office/2006/metadata/properties" ma:root="true" ma:fieldsID="e919f6a4f1c60ccf355ec798d6345a16" ns2:_="" ns3:_="">
    <xsd:import namespace="109fd8f7-4686-44c3-8a41-bfd55f557ff6"/>
    <xsd:import namespace="5d69047f-e6bd-461d-96d0-3dd4aaf5f1db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9fd8f7-4686-44c3-8a41-bfd55f557ff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69047f-e6bd-461d-96d0-3dd4aaf5f1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6D71DC6B-ABD5-47B1-B654-ED61916A6D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54E7C5-1D46-4975-8C33-EA3261BB3857}">
  <ds:schemaRefs>
    <ds:schemaRef ds:uri="5d69047f-e6bd-461d-96d0-3dd4aaf5f1db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109fd8f7-4686-44c3-8a41-bfd55f557ff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44B8928-1FD7-461D-9967-3EFC20163F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9fd8f7-4686-44c3-8a41-bfd55f557ff6"/>
    <ds:schemaRef ds:uri="5d69047f-e6bd-461d-96d0-3dd4aaf5f1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1D62088-4A8E-4387-8900-D89FE537DCFB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Microsoft Office User</cp:lastModifiedBy>
  <dcterms:created xsi:type="dcterms:W3CDTF">2021-10-25T14:49:01Z</dcterms:created>
  <dcterms:modified xsi:type="dcterms:W3CDTF">2022-04-10T00:06:33Z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0x010100FBD52BEF60CF154D9D3E0387F3E0BC10</vt:lpwstr>
  </property>
  <property fmtid="{D5CDD505-2E9C-101B-9397-08002B2CF9AE}" pid="3" name="_dlc_DocIdItemGuid">
    <vt:lpwstr>68068cf5-0b20-4156-b3c3-ead523efbd20</vt:lpwstr>
  </property>
</Properties>
</file>